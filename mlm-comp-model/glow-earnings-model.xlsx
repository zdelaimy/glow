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hurn Model" sheetId="2" state="visible" r:id="rId2"/>
    <sheet name="Conservative" sheetId="3" state="visible" r:id="rId3"/>
    <sheet name="Optimistic" sheetId="4" state="visible" r:id="rId4"/>
    <sheet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b val="1"/>
      <color rgb="00CC0000"/>
      <sz val="10"/>
    </font>
    <font>
      <b val="1"/>
      <sz val="12"/>
    </font>
    <font>
      <b val="1"/>
      <color rgb="006B4C9A"/>
      <sz val="12"/>
    </font>
  </fonts>
  <fills count="6">
    <fill>
      <patternFill/>
    </fill>
    <fill>
      <patternFill patternType="gray125"/>
    </fill>
    <fill>
      <patternFill patternType="solid">
        <fgColor rgb="006B4C9A"/>
        <bgColor rgb="006B4C9A"/>
      </patternFill>
    </fill>
    <fill>
      <patternFill patternType="solid">
        <fgColor rgb="002D2D2D"/>
        <bgColor rgb="002D2D2D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0" fillId="4" borderId="0" pivotButton="0" quotePrefix="0" xfId="0"/>
    <xf numFmtId="9" fontId="0" fillId="4" borderId="0" pivotButton="0" quotePrefix="0" xfId="0"/>
    <xf numFmtId="3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55" customWidth="1" min="4" max="4"/>
  </cols>
  <sheetData>
    <row r="1">
      <c r="A1" s="1" t="inlineStr">
        <is>
          <t>GLOW BEAUTY — ALL ASSUMPTIONS</t>
        </is>
      </c>
    </row>
    <row r="2">
      <c r="A2" s="2" t="inlineStr">
        <is>
          <t>Change any value in columns B/C — the model recalculates from these.</t>
        </is>
      </c>
    </row>
    <row r="4">
      <c r="A4" s="3" t="inlineStr">
        <is>
          <t>PRODUCT</t>
        </is>
      </c>
      <c r="B4" s="3" t="n"/>
      <c r="C4" s="3" t="n"/>
      <c r="D4" s="3" t="n"/>
    </row>
    <row r="5">
      <c r="A5" s="4" t="inlineStr"/>
      <c r="B5" s="4" t="inlineStr">
        <is>
          <t>Conservative</t>
        </is>
      </c>
      <c r="C5" s="4" t="inlineStr">
        <is>
          <t>Optimistic</t>
        </is>
      </c>
      <c r="D5" s="4" t="inlineStr">
        <is>
          <t>Why</t>
        </is>
      </c>
    </row>
    <row r="6">
      <c r="A6" s="5" t="inlineStr">
        <is>
          <t>Avg product price</t>
        </is>
      </c>
      <c r="B6" s="6" t="n">
        <v>65</v>
      </c>
      <c r="C6" s="6" t="n">
        <v>65</v>
      </c>
      <c r="D6" s="2" t="inlineStr">
        <is>
          <t>Premium beauty: $45-85 range</t>
        </is>
      </c>
    </row>
    <row r="7">
      <c r="A7" s="5" t="inlineStr">
        <is>
          <t>Avg PV per active rep/month</t>
        </is>
      </c>
      <c r="B7" s="6" t="n">
        <v>250</v>
      </c>
      <c r="C7" s="6" t="n">
        <v>500</v>
      </c>
      <c r="D7" s="2" t="inlineStr">
        <is>
          <t>Conservative = autoship + light selling. Optimistic = active sellers.</t>
        </is>
      </c>
    </row>
    <row r="8">
      <c r="A8" s="5" t="inlineStr">
        <is>
          <t>Min autoship to stay active</t>
        </is>
      </c>
      <c r="B8" s="6" t="n">
        <v>150</v>
      </c>
      <c r="C8" s="6" t="n">
        <v>150</v>
      </c>
      <c r="D8" s="2" t="inlineStr">
        <is>
          <t>Monthly purchase required to earn commissions</t>
        </is>
      </c>
    </row>
    <row r="9">
      <c r="A9" s="5" t="inlineStr">
        <is>
          <t>Product COGS (% of revenue)</t>
        </is>
      </c>
      <c r="B9" s="7" t="n">
        <v>0.2</v>
      </c>
      <c r="C9" s="7" t="n">
        <v>0.2</v>
      </c>
      <c r="D9" s="2" t="inlineStr">
        <is>
          <t>Cost to manufacture/source product</t>
        </is>
      </c>
    </row>
    <row r="10">
      <c r="A10" s="5" t="inlineStr">
        <is>
          <t>Shipping &amp; ops (% of revenue)</t>
        </is>
      </c>
      <c r="B10" s="7" t="n">
        <v>0.1</v>
      </c>
      <c r="C10" s="7" t="n">
        <v>0.1</v>
      </c>
      <c r="D10" s="2" t="inlineStr">
        <is>
          <t>Fulfillment, packaging, logistics</t>
        </is>
      </c>
    </row>
    <row r="12">
      <c r="A12" s="3" t="inlineStr">
        <is>
          <t>CHURN &amp; RETENTION</t>
        </is>
      </c>
      <c r="B12" s="3" t="n"/>
      <c r="C12" s="3" t="n"/>
      <c r="D12" s="3" t="n"/>
    </row>
    <row r="13">
      <c r="A13" s="4" t="inlineStr"/>
      <c r="B13" s="4" t="inlineStr">
        <is>
          <t>Conservative</t>
        </is>
      </c>
      <c r="C13" s="4" t="inlineStr">
        <is>
          <t>Optimistic</t>
        </is>
      </c>
      <c r="D13" s="4" t="inlineStr">
        <is>
          <t>Why</t>
        </is>
      </c>
    </row>
    <row r="14">
      <c r="A14" s="5" t="inlineStr">
        <is>
          <t>Monthly churn: Months 1-3</t>
        </is>
      </c>
      <c r="B14" s="8" t="n">
        <v>0.08</v>
      </c>
      <c r="C14" s="8" t="n">
        <v>0.05</v>
      </c>
      <c r="D14" s="2" t="inlineStr">
        <is>
          <t>The danger zone. Most quits happen here.</t>
        </is>
      </c>
    </row>
    <row r="15">
      <c r="A15" s="5" t="inlineStr">
        <is>
          <t>Monthly churn: Months 4-12</t>
        </is>
      </c>
      <c r="B15" s="8" t="n">
        <v>0.04</v>
      </c>
      <c r="C15" s="8" t="n">
        <v>0.025</v>
      </c>
      <c r="D15" s="2" t="inlineStr">
        <is>
          <t>Settled in but still fragile</t>
        </is>
      </c>
    </row>
    <row r="16">
      <c r="A16" s="5" t="inlineStr">
        <is>
          <t>Monthly churn: Month 13+</t>
        </is>
      </c>
      <c r="B16" s="8" t="n">
        <v>0.02</v>
      </c>
      <c r="C16" s="8" t="n">
        <v>0.012</v>
      </c>
      <c r="D16" s="2" t="inlineStr">
        <is>
          <t>Long-term steady state</t>
        </is>
      </c>
    </row>
    <row r="17">
      <c r="A17" s="5" t="inlineStr">
        <is>
          <t>12-month survival rate</t>
        </is>
      </c>
      <c r="B17" s="8">
        <f>((1-B14)^3)*((1-B15)^9)</f>
        <v/>
      </c>
      <c r="C17" s="8">
        <f>((1-C14)^3)*((1-C15)^9)</f>
        <v/>
      </c>
      <c r="D17" s="2" t="inlineStr">
        <is>
          <t>% of a cohort still active after 12 months</t>
        </is>
      </c>
    </row>
    <row r="18">
      <c r="A18" s="5" t="inlineStr">
        <is>
          <t>24-month survival rate</t>
        </is>
      </c>
      <c r="B18" s="8">
        <f>B17*((1-B16)^12)</f>
        <v/>
      </c>
      <c r="C18" s="8">
        <f>C17*((1-C16)^12)</f>
        <v/>
      </c>
      <c r="D18" s="2" t="inlineStr">
        <is>
          <t>% still active after 24 months</t>
        </is>
      </c>
    </row>
    <row r="20">
      <c r="A20" s="3" t="inlineStr">
        <is>
          <t>RECRUITING &amp; GROWTH</t>
        </is>
      </c>
      <c r="B20" s="3" t="n"/>
      <c r="C20" s="3" t="n"/>
      <c r="D20" s="3" t="n"/>
    </row>
    <row r="21">
      <c r="A21" s="4" t="inlineStr"/>
      <c r="B21" s="4" t="inlineStr">
        <is>
          <t>Conservative</t>
        </is>
      </c>
      <c r="C21" s="4" t="inlineStr">
        <is>
          <t>Optimistic</t>
        </is>
      </c>
      <c r="D21" s="4" t="inlineStr">
        <is>
          <t>Why</t>
        </is>
      </c>
    </row>
    <row r="22">
      <c r="A22" s="5" t="inlineStr">
        <is>
          <t>Your direct recruits (L1) by end Y1</t>
        </is>
      </c>
      <c r="B22" t="n">
        <v>4</v>
      </c>
      <c r="C22" t="n">
        <v>8</v>
      </c>
      <c r="D22" s="2" t="inlineStr">
        <is>
          <t>Cumulative people YOU personally recruit</t>
        </is>
      </c>
    </row>
    <row r="23">
      <c r="A23" s="5" t="inlineStr">
        <is>
          <t>Your direct recruits (L1) by end Y2</t>
        </is>
      </c>
      <c r="B23" t="n">
        <v>8</v>
      </c>
      <c r="C23" t="n">
        <v>15</v>
      </c>
      <c r="D23" s="2" t="inlineStr"/>
    </row>
    <row r="24">
      <c r="A24" s="5" t="inlineStr">
        <is>
          <t>Your direct recruits (L1) by end Y3</t>
        </is>
      </c>
      <c r="B24" t="n">
        <v>12</v>
      </c>
      <c r="C24" t="n">
        <v>25</v>
      </c>
      <c r="D24" s="2" t="inlineStr"/>
    </row>
    <row r="25">
      <c r="A25" s="5" t="inlineStr">
        <is>
          <t>Your direct recruits (L1) by end Y4</t>
        </is>
      </c>
      <c r="B25" t="n">
        <v>15</v>
      </c>
      <c r="C25" t="n">
        <v>30</v>
      </c>
      <c r="D25" s="2" t="inlineStr"/>
    </row>
    <row r="26">
      <c r="A26" s="5" t="inlineStr">
        <is>
          <t>Avg recruits per rep (fanout)</t>
        </is>
      </c>
      <c r="B26" t="n">
        <v>2</v>
      </c>
      <c r="C26" t="n">
        <v>3.5</v>
      </c>
      <c r="D26" s="2" t="inlineStr">
        <is>
          <t>Each rep recruits this many people on average over their lifetime</t>
        </is>
      </c>
    </row>
    <row r="27">
      <c r="A27" s="5" t="inlineStr">
        <is>
          <t>Months before a new rep starts recruiting</t>
        </is>
      </c>
      <c r="B27" t="n">
        <v>3</v>
      </c>
      <c r="C27" t="n">
        <v>2</v>
      </c>
      <c r="D27" s="2" t="inlineStr">
        <is>
          <t>Ramp time before a rep starts bringing in their own recruits</t>
        </is>
      </c>
    </row>
    <row r="29">
      <c r="A29" s="3" t="inlineStr">
        <is>
          <t>COMPENSATION PLAN</t>
        </is>
      </c>
      <c r="B29" s="3" t="n"/>
      <c r="C29" s="3" t="n"/>
      <c r="D29" s="3" t="n"/>
    </row>
    <row r="30">
      <c r="A30" s="4" t="inlineStr">
        <is>
          <t>Component</t>
        </is>
      </c>
      <c r="B30" s="4" t="inlineStr">
        <is>
          <t>Rate</t>
        </is>
      </c>
      <c r="C30" s="4" t="inlineStr">
        <is>
          <t>Unlock Requirement</t>
        </is>
      </c>
      <c r="D30" s="4" t="inlineStr">
        <is>
          <t>Notes</t>
        </is>
      </c>
    </row>
    <row r="31">
      <c r="A31" s="5" t="inlineStr">
        <is>
          <t>Retail commission</t>
        </is>
      </c>
      <c r="B31" t="inlineStr">
        <is>
          <t>25%</t>
        </is>
      </c>
      <c r="C31" t="inlineStr">
        <is>
          <t>Everyone</t>
        </is>
      </c>
      <c r="D31" s="2" t="inlineStr">
        <is>
          <t>On personal sales</t>
        </is>
      </c>
    </row>
    <row r="32">
      <c r="A32" s="5" t="inlineStr">
        <is>
          <t>L1 override</t>
        </is>
      </c>
      <c r="B32" t="inlineStr">
        <is>
          <t>10%</t>
        </is>
      </c>
      <c r="C32" t="inlineStr">
        <is>
          <t>Starter: recruit 1</t>
        </is>
      </c>
      <c r="D32" s="2" t="inlineStr">
        <is>
          <t>On direct recruits' sales</t>
        </is>
      </c>
    </row>
    <row r="33">
      <c r="A33" s="5" t="inlineStr">
        <is>
          <t>L2 override</t>
        </is>
      </c>
      <c r="B33" t="inlineStr">
        <is>
          <t>5%</t>
        </is>
      </c>
      <c r="C33" t="inlineStr">
        <is>
          <t>Builder: recruit 3</t>
        </is>
      </c>
      <c r="D33" s="2" t="inlineStr"/>
    </row>
    <row r="34">
      <c r="A34" s="5" t="inlineStr">
        <is>
          <t>L3 override</t>
        </is>
      </c>
      <c r="B34" t="inlineStr">
        <is>
          <t>4%</t>
        </is>
      </c>
      <c r="C34" t="inlineStr">
        <is>
          <t>Leader: 5 recruits + $5k GV</t>
        </is>
      </c>
      <c r="D34" s="2" t="inlineStr"/>
    </row>
    <row r="35">
      <c r="A35" s="5" t="inlineStr">
        <is>
          <t>L4 override</t>
        </is>
      </c>
      <c r="B35" t="inlineStr">
        <is>
          <t>3%</t>
        </is>
      </c>
      <c r="C35" t="inlineStr">
        <is>
          <t>Director: $25k GV</t>
        </is>
      </c>
      <c r="D35" s="2" t="inlineStr"/>
    </row>
    <row r="36">
      <c r="A36" s="5" t="inlineStr">
        <is>
          <t>L5 override</t>
        </is>
      </c>
      <c r="B36" t="inlineStr">
        <is>
          <t>2%</t>
        </is>
      </c>
      <c r="C36" t="inlineStr">
        <is>
          <t>Sr. Director: $75k GV</t>
        </is>
      </c>
      <c r="D36" s="2" t="inlineStr"/>
    </row>
    <row r="37">
      <c r="A37" s="5" t="inlineStr">
        <is>
          <t>L6 override</t>
        </is>
      </c>
      <c r="B37" t="inlineStr">
        <is>
          <t>1%</t>
        </is>
      </c>
      <c r="C37" t="inlineStr">
        <is>
          <t>VP: $200k GV</t>
        </is>
      </c>
      <c r="D37" s="2" t="inlineStr"/>
    </row>
    <row r="38">
      <c r="A38" s="5" t="inlineStr">
        <is>
          <t>L7 override</t>
        </is>
      </c>
      <c r="B38" t="inlineStr">
        <is>
          <t>1%</t>
        </is>
      </c>
      <c r="C38" t="inlineStr">
        <is>
          <t>Founder's Circle: $500k GV</t>
        </is>
      </c>
      <c r="D38" s="2" t="inlineStr"/>
    </row>
    <row r="39">
      <c r="A39" s="5" t="inlineStr">
        <is>
          <t>Leadership pool: Director</t>
        </is>
      </c>
      <c r="B39" t="inlineStr">
        <is>
          <t>1% of co. revenue</t>
        </is>
      </c>
      <c r="C39" t="inlineStr">
        <is>
          <t>Split among Directors only</t>
        </is>
      </c>
      <c r="D39" s="2" t="inlineStr">
        <is>
          <t>Separate pool per rank</t>
        </is>
      </c>
    </row>
    <row r="40">
      <c r="A40" s="5" t="inlineStr">
        <is>
          <t>Leadership pool: Sr. Director</t>
        </is>
      </c>
      <c r="B40" t="inlineStr">
        <is>
          <t>+1% of co. revenue</t>
        </is>
      </c>
      <c r="C40" t="inlineStr">
        <is>
          <t>Split among Sr. Directors only</t>
        </is>
      </c>
      <c r="D40" s="2" t="inlineStr"/>
    </row>
    <row r="41">
      <c r="A41" s="5" t="inlineStr">
        <is>
          <t>Leadership pool: VP</t>
        </is>
      </c>
      <c r="B41" t="inlineStr">
        <is>
          <t>+1% of co. revenue</t>
        </is>
      </c>
      <c r="C41" t="inlineStr">
        <is>
          <t>Split among VPs only</t>
        </is>
      </c>
      <c r="D41" s="2" t="inlineStr"/>
    </row>
    <row r="42">
      <c r="A42" s="5" t="inlineStr">
        <is>
          <t>Leadership pool: FC</t>
        </is>
      </c>
      <c r="B42" t="inlineStr">
        <is>
          <t>+1% of co. revenue</t>
        </is>
      </c>
      <c r="C42" t="inlineStr">
        <is>
          <t>Split among FCs only</t>
        </is>
      </c>
      <c r="D42" s="2" t="inlineStr"/>
    </row>
    <row r="43">
      <c r="A43" s="5" t="inlineStr">
        <is>
          <t>Founding 20 bonus</t>
        </is>
      </c>
      <c r="B43" t="inlineStr">
        <is>
          <t>1% of co. revenue</t>
        </is>
      </c>
      <c r="C43" t="inlineStr">
        <is>
          <t>Original 20 only</t>
        </is>
      </c>
      <c r="D43" s="2" t="inlineStr">
        <is>
          <t>÷ 20, forever, if active</t>
        </is>
      </c>
    </row>
    <row r="45">
      <c r="A45" s="9" t="inlineStr">
        <is>
          <t>MAX THEORETICAL PAYOUT</t>
        </is>
      </c>
      <c r="B45" t="inlineStr">
        <is>
          <t>25% + 26% + 4% + 1% = 56%</t>
        </is>
      </c>
      <c r="D45" s="2" t="inlineStr">
        <is>
          <t>Actual will be ~40-48% because most reps don't unlock all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MONTHLY CHURN MODEL — COHORT TRACKING</t>
        </is>
      </c>
    </row>
    <row r="2">
      <c r="A2" s="2" t="inlineStr">
        <is>
          <t>Shows how a cohort of 100 reps decays over 24 months</t>
        </is>
      </c>
    </row>
    <row r="4">
      <c r="A4" s="3" t="inlineStr">
        <is>
          <t>CONSERVATIVE SCENARIO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inlineStr">
        <is>
          <t>Month</t>
        </is>
      </c>
      <c r="B5" s="4" t="inlineStr">
        <is>
          <t>Start of Month</t>
        </is>
      </c>
      <c r="C5" s="4" t="inlineStr">
        <is>
          <t>Churn Rate</t>
        </is>
      </c>
      <c r="D5" s="4" t="inlineStr">
        <is>
          <t>Churned Out</t>
        </is>
      </c>
      <c r="E5" s="4" t="inlineStr">
        <is>
          <t>End of Month</t>
        </is>
      </c>
      <c r="F5" s="4" t="inlineStr">
        <is>
          <t>Formula</t>
        </is>
      </c>
    </row>
    <row r="6">
      <c r="A6" t="n">
        <v>1</v>
      </c>
      <c r="B6" t="n">
        <v>100</v>
      </c>
      <c r="C6" s="7" t="n">
        <v>0.08</v>
      </c>
      <c r="D6">
        <f>ROUND(B6*C6,1)</f>
        <v/>
      </c>
      <c r="E6" s="10">
        <f>B6-D6</f>
        <v/>
      </c>
      <c r="F6" s="2" t="inlineStr">
        <is>
          <t>Months 1-3: 8%/mo (danger zone)</t>
        </is>
      </c>
    </row>
    <row r="7">
      <c r="A7" t="n">
        <v>2</v>
      </c>
      <c r="B7">
        <f>E6</f>
        <v/>
      </c>
      <c r="C7" s="7" t="n">
        <v>0.08</v>
      </c>
      <c r="D7">
        <f>ROUND(B7*C7,1)</f>
        <v/>
      </c>
      <c r="E7" s="10">
        <f>B7-D7</f>
        <v/>
      </c>
      <c r="F7" s="2" t="inlineStr">
        <is>
          <t>Months 1-3: 8%/mo (danger zone)</t>
        </is>
      </c>
    </row>
    <row r="8">
      <c r="A8" t="n">
        <v>3</v>
      </c>
      <c r="B8">
        <f>E7</f>
        <v/>
      </c>
      <c r="C8" s="7" t="n">
        <v>0.08</v>
      </c>
      <c r="D8">
        <f>ROUND(B8*C8,1)</f>
        <v/>
      </c>
      <c r="E8" s="10">
        <f>B8-D8</f>
        <v/>
      </c>
      <c r="F8" s="2" t="inlineStr">
        <is>
          <t>Months 1-3: 8%/mo (danger zone)</t>
        </is>
      </c>
    </row>
    <row r="9">
      <c r="A9" t="n">
        <v>4</v>
      </c>
      <c r="B9">
        <f>E8</f>
        <v/>
      </c>
      <c r="C9" s="7" t="n">
        <v>0.04</v>
      </c>
      <c r="D9">
        <f>ROUND(B9*C9,1)</f>
        <v/>
      </c>
      <c r="E9" s="10">
        <f>B9-D9</f>
        <v/>
      </c>
      <c r="F9" s="2" t="inlineStr">
        <is>
          <t>Months 4-12: 4%/mo (settling in)</t>
        </is>
      </c>
    </row>
    <row r="10">
      <c r="A10" t="n">
        <v>5</v>
      </c>
      <c r="B10">
        <f>E9</f>
        <v/>
      </c>
      <c r="C10" s="7" t="n">
        <v>0.04</v>
      </c>
      <c r="D10">
        <f>ROUND(B10*C10,1)</f>
        <v/>
      </c>
      <c r="E10" s="10">
        <f>B10-D10</f>
        <v/>
      </c>
    </row>
    <row r="11">
      <c r="A11" t="n">
        <v>6</v>
      </c>
      <c r="B11">
        <f>E10</f>
        <v/>
      </c>
      <c r="C11" s="7" t="n">
        <v>0.04</v>
      </c>
      <c r="D11">
        <f>ROUND(B11*C11,1)</f>
        <v/>
      </c>
      <c r="E11" s="10">
        <f>B11-D11</f>
        <v/>
      </c>
    </row>
    <row r="12">
      <c r="A12" t="n">
        <v>7</v>
      </c>
      <c r="B12">
        <f>E11</f>
        <v/>
      </c>
      <c r="C12" s="7" t="n">
        <v>0.04</v>
      </c>
      <c r="D12">
        <f>ROUND(B12*C12,1)</f>
        <v/>
      </c>
      <c r="E12" s="10">
        <f>B12-D12</f>
        <v/>
      </c>
    </row>
    <row r="13">
      <c r="A13" t="n">
        <v>8</v>
      </c>
      <c r="B13">
        <f>E12</f>
        <v/>
      </c>
      <c r="C13" s="7" t="n">
        <v>0.04</v>
      </c>
      <c r="D13">
        <f>ROUND(B13*C13,1)</f>
        <v/>
      </c>
      <c r="E13" s="10">
        <f>B13-D13</f>
        <v/>
      </c>
    </row>
    <row r="14">
      <c r="A14" t="n">
        <v>9</v>
      </c>
      <c r="B14">
        <f>E13</f>
        <v/>
      </c>
      <c r="C14" s="7" t="n">
        <v>0.04</v>
      </c>
      <c r="D14">
        <f>ROUND(B14*C14,1)</f>
        <v/>
      </c>
      <c r="E14" s="10">
        <f>B14-D14</f>
        <v/>
      </c>
    </row>
    <row r="15">
      <c r="A15" t="n">
        <v>10</v>
      </c>
      <c r="B15">
        <f>E14</f>
        <v/>
      </c>
      <c r="C15" s="7" t="n">
        <v>0.04</v>
      </c>
      <c r="D15">
        <f>ROUND(B15*C15,1)</f>
        <v/>
      </c>
      <c r="E15" s="10">
        <f>B15-D15</f>
        <v/>
      </c>
    </row>
    <row r="16">
      <c r="A16" t="n">
        <v>11</v>
      </c>
      <c r="B16">
        <f>E15</f>
        <v/>
      </c>
      <c r="C16" s="7" t="n">
        <v>0.04</v>
      </c>
      <c r="D16">
        <f>ROUND(B16*C16,1)</f>
        <v/>
      </c>
      <c r="E16" s="10">
        <f>B16-D16</f>
        <v/>
      </c>
    </row>
    <row r="17">
      <c r="A17" t="n">
        <v>12</v>
      </c>
      <c r="B17">
        <f>E16</f>
        <v/>
      </c>
      <c r="C17" s="7" t="n">
        <v>0.04</v>
      </c>
      <c r="D17">
        <f>ROUND(B17*C17,1)</f>
        <v/>
      </c>
      <c r="E17" s="10">
        <f>B17-D17</f>
        <v/>
      </c>
    </row>
    <row r="18">
      <c r="A18" t="n">
        <v>13</v>
      </c>
      <c r="B18">
        <f>E17</f>
        <v/>
      </c>
      <c r="C18" s="7" t="n">
        <v>0.02</v>
      </c>
      <c r="D18">
        <f>ROUND(B18*C18,1)</f>
        <v/>
      </c>
      <c r="E18" s="10">
        <f>B18-D18</f>
        <v/>
      </c>
      <c r="F18" s="2" t="inlineStr">
        <is>
          <t>Months 13+: 2%/mo (steady state)</t>
        </is>
      </c>
    </row>
    <row r="19">
      <c r="A19" t="n">
        <v>14</v>
      </c>
      <c r="B19">
        <f>E18</f>
        <v/>
      </c>
      <c r="C19" s="7" t="n">
        <v>0.02</v>
      </c>
      <c r="D19">
        <f>ROUND(B19*C19,1)</f>
        <v/>
      </c>
      <c r="E19" s="10">
        <f>B19-D19</f>
        <v/>
      </c>
    </row>
    <row r="20">
      <c r="A20" t="n">
        <v>15</v>
      </c>
      <c r="B20">
        <f>E19</f>
        <v/>
      </c>
      <c r="C20" s="7" t="n">
        <v>0.02</v>
      </c>
      <c r="D20">
        <f>ROUND(B20*C20,1)</f>
        <v/>
      </c>
      <c r="E20" s="10">
        <f>B20-D20</f>
        <v/>
      </c>
    </row>
    <row r="21">
      <c r="A21" t="n">
        <v>16</v>
      </c>
      <c r="B21">
        <f>E20</f>
        <v/>
      </c>
      <c r="C21" s="7" t="n">
        <v>0.02</v>
      </c>
      <c r="D21">
        <f>ROUND(B21*C21,1)</f>
        <v/>
      </c>
      <c r="E21" s="10">
        <f>B21-D21</f>
        <v/>
      </c>
    </row>
    <row r="22">
      <c r="A22" t="n">
        <v>17</v>
      </c>
      <c r="B22">
        <f>E21</f>
        <v/>
      </c>
      <c r="C22" s="7" t="n">
        <v>0.02</v>
      </c>
      <c r="D22">
        <f>ROUND(B22*C22,1)</f>
        <v/>
      </c>
      <c r="E22" s="10">
        <f>B22-D22</f>
        <v/>
      </c>
    </row>
    <row r="23">
      <c r="A23" t="n">
        <v>18</v>
      </c>
      <c r="B23">
        <f>E22</f>
        <v/>
      </c>
      <c r="C23" s="7" t="n">
        <v>0.02</v>
      </c>
      <c r="D23">
        <f>ROUND(B23*C23,1)</f>
        <v/>
      </c>
      <c r="E23" s="10">
        <f>B23-D23</f>
        <v/>
      </c>
    </row>
    <row r="24">
      <c r="A24" t="n">
        <v>19</v>
      </c>
      <c r="B24">
        <f>E23</f>
        <v/>
      </c>
      <c r="C24" s="7" t="n">
        <v>0.02</v>
      </c>
      <c r="D24">
        <f>ROUND(B24*C24,1)</f>
        <v/>
      </c>
      <c r="E24" s="10">
        <f>B24-D24</f>
        <v/>
      </c>
    </row>
    <row r="25">
      <c r="A25" t="n">
        <v>20</v>
      </c>
      <c r="B25">
        <f>E24</f>
        <v/>
      </c>
      <c r="C25" s="7" t="n">
        <v>0.02</v>
      </c>
      <c r="D25">
        <f>ROUND(B25*C25,1)</f>
        <v/>
      </c>
      <c r="E25" s="10">
        <f>B25-D25</f>
        <v/>
      </c>
    </row>
    <row r="26">
      <c r="A26" t="n">
        <v>21</v>
      </c>
      <c r="B26">
        <f>E25</f>
        <v/>
      </c>
      <c r="C26" s="7" t="n">
        <v>0.02</v>
      </c>
      <c r="D26">
        <f>ROUND(B26*C26,1)</f>
        <v/>
      </c>
      <c r="E26" s="10">
        <f>B26-D26</f>
        <v/>
      </c>
    </row>
    <row r="27">
      <c r="A27" t="n">
        <v>22</v>
      </c>
      <c r="B27">
        <f>E26</f>
        <v/>
      </c>
      <c r="C27" s="7" t="n">
        <v>0.02</v>
      </c>
      <c r="D27">
        <f>ROUND(B27*C27,1)</f>
        <v/>
      </c>
      <c r="E27" s="10">
        <f>B27-D27</f>
        <v/>
      </c>
    </row>
    <row r="28">
      <c r="A28" t="n">
        <v>23</v>
      </c>
      <c r="B28">
        <f>E27</f>
        <v/>
      </c>
      <c r="C28" s="7" t="n">
        <v>0.02</v>
      </c>
      <c r="D28">
        <f>ROUND(B28*C28,1)</f>
        <v/>
      </c>
      <c r="E28" s="10">
        <f>B28-D28</f>
        <v/>
      </c>
    </row>
    <row r="29">
      <c r="A29" t="n">
        <v>24</v>
      </c>
      <c r="B29">
        <f>E28</f>
        <v/>
      </c>
      <c r="C29" s="7" t="n">
        <v>0.02</v>
      </c>
      <c r="D29">
        <f>ROUND(B29*C29,1)</f>
        <v/>
      </c>
      <c r="E29" s="10">
        <f>B29-D29</f>
        <v/>
      </c>
    </row>
    <row r="31">
      <c r="A31" s="5" t="inlineStr">
        <is>
          <t>SUMMARY</t>
        </is>
      </c>
    </row>
    <row r="32">
      <c r="A32" s="5" t="inlineStr">
        <is>
          <t>After 3 months:</t>
        </is>
      </c>
      <c r="B32" s="10">
        <f>E8</f>
        <v/>
      </c>
      <c r="C32" s="2" t="inlineStr">
        <is>
          <t>out of 100</t>
        </is>
      </c>
    </row>
    <row r="33">
      <c r="A33" s="5" t="inlineStr">
        <is>
          <t>After 12 months:</t>
        </is>
      </c>
      <c r="B33" s="10">
        <f>E17</f>
        <v/>
      </c>
      <c r="C33" s="2" t="inlineStr">
        <is>
          <t>out of 100</t>
        </is>
      </c>
    </row>
    <row r="34">
      <c r="A34" s="5" t="inlineStr">
        <is>
          <t>After 24 months:</t>
        </is>
      </c>
      <c r="B34" s="10">
        <f>E29</f>
        <v/>
      </c>
      <c r="C34" s="2" t="inlineStr">
        <is>
          <t>out of 100</t>
        </is>
      </c>
    </row>
    <row r="37">
      <c r="A37" s="3" t="inlineStr">
        <is>
          <t>OPTIMISTIC SCENARIO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4" t="inlineStr">
        <is>
          <t>Month</t>
        </is>
      </c>
      <c r="B38" s="4" t="inlineStr">
        <is>
          <t>Start of Month</t>
        </is>
      </c>
      <c r="C38" s="4" t="inlineStr">
        <is>
          <t>Churn Rate</t>
        </is>
      </c>
      <c r="D38" s="4" t="inlineStr">
        <is>
          <t>Churned Out</t>
        </is>
      </c>
      <c r="E38" s="4" t="inlineStr">
        <is>
          <t>End of Month</t>
        </is>
      </c>
      <c r="F38" s="4" t="inlineStr">
        <is>
          <t>Formula</t>
        </is>
      </c>
    </row>
    <row r="39">
      <c r="A39" t="n">
        <v>1</v>
      </c>
      <c r="B39" t="n">
        <v>100</v>
      </c>
      <c r="C39" s="8" t="n">
        <v>0.05</v>
      </c>
      <c r="D39">
        <f>ROUND(B39*C39,1)</f>
        <v/>
      </c>
      <c r="E39" s="10">
        <f>B39-D39</f>
        <v/>
      </c>
      <c r="F39" s="2" t="inlineStr">
        <is>
          <t>Months 1-3: 5%/mo (better onboarding)</t>
        </is>
      </c>
    </row>
    <row r="40">
      <c r="A40" t="n">
        <v>2</v>
      </c>
      <c r="B40">
        <f>E39</f>
        <v/>
      </c>
      <c r="C40" s="8" t="n">
        <v>0.05</v>
      </c>
      <c r="D40">
        <f>ROUND(B40*C40,1)</f>
        <v/>
      </c>
      <c r="E40" s="10">
        <f>B40-D40</f>
        <v/>
      </c>
      <c r="F40" s="2" t="inlineStr">
        <is>
          <t>Months 1-3: 5%/mo (better onboarding)</t>
        </is>
      </c>
    </row>
    <row r="41">
      <c r="A41" t="n">
        <v>3</v>
      </c>
      <c r="B41">
        <f>E40</f>
        <v/>
      </c>
      <c r="C41" s="8" t="n">
        <v>0.05</v>
      </c>
      <c r="D41">
        <f>ROUND(B41*C41,1)</f>
        <v/>
      </c>
      <c r="E41" s="10">
        <f>B41-D41</f>
        <v/>
      </c>
      <c r="F41" s="2" t="inlineStr">
        <is>
          <t>Months 1-3: 5%/mo (better onboarding)</t>
        </is>
      </c>
    </row>
    <row r="42">
      <c r="A42" t="n">
        <v>4</v>
      </c>
      <c r="B42">
        <f>E41</f>
        <v/>
      </c>
      <c r="C42" s="8" t="n">
        <v>0.025</v>
      </c>
      <c r="D42">
        <f>ROUND(B42*C42,1)</f>
        <v/>
      </c>
      <c r="E42" s="10">
        <f>B42-D42</f>
        <v/>
      </c>
      <c r="F42" s="2" t="inlineStr">
        <is>
          <t>Months 4-12: 2.5%/mo</t>
        </is>
      </c>
    </row>
    <row r="43">
      <c r="A43" t="n">
        <v>5</v>
      </c>
      <c r="B43">
        <f>E42</f>
        <v/>
      </c>
      <c r="C43" s="8" t="n">
        <v>0.025</v>
      </c>
      <c r="D43">
        <f>ROUND(B43*C43,1)</f>
        <v/>
      </c>
      <c r="E43" s="10">
        <f>B43-D43</f>
        <v/>
      </c>
    </row>
    <row r="44">
      <c r="A44" t="n">
        <v>6</v>
      </c>
      <c r="B44">
        <f>E43</f>
        <v/>
      </c>
      <c r="C44" s="8" t="n">
        <v>0.025</v>
      </c>
      <c r="D44">
        <f>ROUND(B44*C44,1)</f>
        <v/>
      </c>
      <c r="E44" s="10">
        <f>B44-D44</f>
        <v/>
      </c>
    </row>
    <row r="45">
      <c r="A45" t="n">
        <v>7</v>
      </c>
      <c r="B45">
        <f>E44</f>
        <v/>
      </c>
      <c r="C45" s="8" t="n">
        <v>0.025</v>
      </c>
      <c r="D45">
        <f>ROUND(B45*C45,1)</f>
        <v/>
      </c>
      <c r="E45" s="10">
        <f>B45-D45</f>
        <v/>
      </c>
    </row>
    <row r="46">
      <c r="A46" t="n">
        <v>8</v>
      </c>
      <c r="B46">
        <f>E45</f>
        <v/>
      </c>
      <c r="C46" s="8" t="n">
        <v>0.025</v>
      </c>
      <c r="D46">
        <f>ROUND(B46*C46,1)</f>
        <v/>
      </c>
      <c r="E46" s="10">
        <f>B46-D46</f>
        <v/>
      </c>
    </row>
    <row r="47">
      <c r="A47" t="n">
        <v>9</v>
      </c>
      <c r="B47">
        <f>E46</f>
        <v/>
      </c>
      <c r="C47" s="8" t="n">
        <v>0.025</v>
      </c>
      <c r="D47">
        <f>ROUND(B47*C47,1)</f>
        <v/>
      </c>
      <c r="E47" s="10">
        <f>B47-D47</f>
        <v/>
      </c>
    </row>
    <row r="48">
      <c r="A48" t="n">
        <v>10</v>
      </c>
      <c r="B48">
        <f>E47</f>
        <v/>
      </c>
      <c r="C48" s="8" t="n">
        <v>0.025</v>
      </c>
      <c r="D48">
        <f>ROUND(B48*C48,1)</f>
        <v/>
      </c>
      <c r="E48" s="10">
        <f>B48-D48</f>
        <v/>
      </c>
    </row>
    <row r="49">
      <c r="A49" t="n">
        <v>11</v>
      </c>
      <c r="B49">
        <f>E48</f>
        <v/>
      </c>
      <c r="C49" s="8" t="n">
        <v>0.025</v>
      </c>
      <c r="D49">
        <f>ROUND(B49*C49,1)</f>
        <v/>
      </c>
      <c r="E49" s="10">
        <f>B49-D49</f>
        <v/>
      </c>
    </row>
    <row r="50">
      <c r="A50" t="n">
        <v>12</v>
      </c>
      <c r="B50">
        <f>E49</f>
        <v/>
      </c>
      <c r="C50" s="8" t="n">
        <v>0.025</v>
      </c>
      <c r="D50">
        <f>ROUND(B50*C50,1)</f>
        <v/>
      </c>
      <c r="E50" s="10">
        <f>B50-D50</f>
        <v/>
      </c>
    </row>
    <row r="51">
      <c r="A51" t="n">
        <v>13</v>
      </c>
      <c r="B51">
        <f>E50</f>
        <v/>
      </c>
      <c r="C51" s="8" t="n">
        <v>0.012</v>
      </c>
      <c r="D51">
        <f>ROUND(B51*C51,1)</f>
        <v/>
      </c>
      <c r="E51" s="10">
        <f>B51-D51</f>
        <v/>
      </c>
      <c r="F51" s="2" t="inlineStr">
        <is>
          <t>Months 13+: 1.2%/mo (strong product)</t>
        </is>
      </c>
    </row>
    <row r="52">
      <c r="A52" t="n">
        <v>14</v>
      </c>
      <c r="B52">
        <f>E51</f>
        <v/>
      </c>
      <c r="C52" s="8" t="n">
        <v>0.012</v>
      </c>
      <c r="D52">
        <f>ROUND(B52*C52,1)</f>
        <v/>
      </c>
      <c r="E52" s="10">
        <f>B52-D52</f>
        <v/>
      </c>
    </row>
    <row r="53">
      <c r="A53" t="n">
        <v>15</v>
      </c>
      <c r="B53">
        <f>E52</f>
        <v/>
      </c>
      <c r="C53" s="8" t="n">
        <v>0.012</v>
      </c>
      <c r="D53">
        <f>ROUND(B53*C53,1)</f>
        <v/>
      </c>
      <c r="E53" s="10">
        <f>B53-D53</f>
        <v/>
      </c>
    </row>
    <row r="54">
      <c r="A54" t="n">
        <v>16</v>
      </c>
      <c r="B54">
        <f>E53</f>
        <v/>
      </c>
      <c r="C54" s="8" t="n">
        <v>0.012</v>
      </c>
      <c r="D54">
        <f>ROUND(B54*C54,1)</f>
        <v/>
      </c>
      <c r="E54" s="10">
        <f>B54-D54</f>
        <v/>
      </c>
    </row>
    <row r="55">
      <c r="A55" t="n">
        <v>17</v>
      </c>
      <c r="B55">
        <f>E54</f>
        <v/>
      </c>
      <c r="C55" s="8" t="n">
        <v>0.012</v>
      </c>
      <c r="D55">
        <f>ROUND(B55*C55,1)</f>
        <v/>
      </c>
      <c r="E55" s="10">
        <f>B55-D55</f>
        <v/>
      </c>
    </row>
    <row r="56">
      <c r="A56" t="n">
        <v>18</v>
      </c>
      <c r="B56">
        <f>E55</f>
        <v/>
      </c>
      <c r="C56" s="8" t="n">
        <v>0.012</v>
      </c>
      <c r="D56">
        <f>ROUND(B56*C56,1)</f>
        <v/>
      </c>
      <c r="E56" s="10">
        <f>B56-D56</f>
        <v/>
      </c>
    </row>
    <row r="57">
      <c r="A57" t="n">
        <v>19</v>
      </c>
      <c r="B57">
        <f>E56</f>
        <v/>
      </c>
      <c r="C57" s="8" t="n">
        <v>0.012</v>
      </c>
      <c r="D57">
        <f>ROUND(B57*C57,1)</f>
        <v/>
      </c>
      <c r="E57" s="10">
        <f>B57-D57</f>
        <v/>
      </c>
    </row>
    <row r="58">
      <c r="A58" t="n">
        <v>20</v>
      </c>
      <c r="B58">
        <f>E57</f>
        <v/>
      </c>
      <c r="C58" s="8" t="n">
        <v>0.012</v>
      </c>
      <c r="D58">
        <f>ROUND(B58*C58,1)</f>
        <v/>
      </c>
      <c r="E58" s="10">
        <f>B58-D58</f>
        <v/>
      </c>
    </row>
    <row r="59">
      <c r="A59" t="n">
        <v>21</v>
      </c>
      <c r="B59">
        <f>E58</f>
        <v/>
      </c>
      <c r="C59" s="8" t="n">
        <v>0.012</v>
      </c>
      <c r="D59">
        <f>ROUND(B59*C59,1)</f>
        <v/>
      </c>
      <c r="E59" s="10">
        <f>B59-D59</f>
        <v/>
      </c>
    </row>
    <row r="60">
      <c r="A60" t="n">
        <v>22</v>
      </c>
      <c r="B60">
        <f>E59</f>
        <v/>
      </c>
      <c r="C60" s="8" t="n">
        <v>0.012</v>
      </c>
      <c r="D60">
        <f>ROUND(B60*C60,1)</f>
        <v/>
      </c>
      <c r="E60" s="10">
        <f>B60-D60</f>
        <v/>
      </c>
    </row>
    <row r="61">
      <c r="A61" t="n">
        <v>23</v>
      </c>
      <c r="B61">
        <f>E60</f>
        <v/>
      </c>
      <c r="C61" s="8" t="n">
        <v>0.012</v>
      </c>
      <c r="D61">
        <f>ROUND(B61*C61,1)</f>
        <v/>
      </c>
      <c r="E61" s="10">
        <f>B61-D61</f>
        <v/>
      </c>
    </row>
    <row r="62">
      <c r="A62" t="n">
        <v>24</v>
      </c>
      <c r="B62">
        <f>E61</f>
        <v/>
      </c>
      <c r="C62" s="8" t="n">
        <v>0.012</v>
      </c>
      <c r="D62">
        <f>ROUND(B62*C62,1)</f>
        <v/>
      </c>
      <c r="E62" s="10">
        <f>B62-D62</f>
        <v/>
      </c>
    </row>
    <row r="64">
      <c r="A64" s="5" t="inlineStr">
        <is>
          <t>SUMMARY</t>
        </is>
      </c>
    </row>
    <row r="65">
      <c r="A65" s="5" t="inlineStr">
        <is>
          <t>After 3 months:</t>
        </is>
      </c>
      <c r="B65" s="10">
        <f>E41</f>
        <v/>
      </c>
    </row>
    <row r="66">
      <c r="A66" s="5" t="inlineStr">
        <is>
          <t>After 12 months:</t>
        </is>
      </c>
      <c r="B66" s="10">
        <f>E50</f>
        <v/>
      </c>
    </row>
    <row r="67">
      <c r="A67" s="5" t="inlineStr">
        <is>
          <t>After 24 months:</t>
        </is>
      </c>
      <c r="B67" s="10">
        <f>E62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45" customWidth="1" min="6" max="6"/>
  </cols>
  <sheetData>
    <row r="1">
      <c r="A1" s="1" t="inlineStr">
        <is>
          <t>FOUNDING GLOW GIRL — CONSERVATIVE ($250 avg PV, high churn)</t>
        </is>
      </c>
    </row>
    <row r="2">
      <c r="A2" s="2" t="inlineStr">
        <is>
          <t>Avg PV: $250/mo | Your PV: $800/mo | 12mo survival: 47%</t>
        </is>
      </c>
    </row>
    <row r="4">
      <c r="A4" s="3" t="inlineStr">
        <is>
          <t>YOUR ORGANIZATION (bottom-up with churn)</t>
        </is>
      </c>
      <c r="B4" s="3" t="n"/>
      <c r="C4" s="3" t="n"/>
      <c r="D4" s="3" t="n"/>
      <c r="E4" s="3" t="n"/>
      <c r="F4" s="3" t="n"/>
    </row>
    <row r="5">
      <c r="A5" s="4" t="inlineStr"/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  <c r="F5" s="4" t="inlineStr">
        <is>
          <t>Formula / Notes</t>
        </is>
      </c>
    </row>
    <row r="6">
      <c r="A6" s="5" t="inlineStr">
        <is>
          <t>Gross L1 recruits (cumulative)</t>
        </is>
      </c>
      <c r="B6" s="11" t="n">
        <v>4</v>
      </c>
      <c r="C6" s="11" t="n">
        <v>8</v>
      </c>
      <c r="D6" s="11" t="n">
        <v>12</v>
      </c>
      <c r="E6" s="11" t="n">
        <v>15</v>
      </c>
      <c r="F6" s="2" t="inlineStr">
        <is>
          <t>Total people YOU have ever recruited</t>
        </is>
      </c>
    </row>
    <row r="7">
      <c r="A7" s="5" t="inlineStr"/>
    </row>
    <row r="8">
      <c r="A8" s="5" t="inlineStr">
        <is>
          <t>ACTIVE REPS BY LEVEL (after churn)</t>
        </is>
      </c>
    </row>
    <row r="9">
      <c r="A9" s="5" t="inlineStr">
        <is>
          <t xml:space="preserve">  L1: Your direct recruits (net)</t>
        </is>
      </c>
      <c r="B9" s="11" t="n">
        <v>1</v>
      </c>
      <c r="C9" s="11" t="n">
        <v>2</v>
      </c>
      <c r="D9" s="11" t="n">
        <v>4</v>
      </c>
      <c r="E9" s="11" t="n">
        <v>5</v>
      </c>
      <c r="F9" s="2" t="inlineStr">
        <is>
          <t>Gross × survival rate. Override: 10%</t>
        </is>
      </c>
    </row>
    <row r="10">
      <c r="A10" s="5" t="inlineStr">
        <is>
          <t xml:space="preserve">  L2: Their recruits (net)</t>
        </is>
      </c>
      <c r="B10" s="11" t="n">
        <v>5</v>
      </c>
      <c r="C10" s="11" t="n">
        <v>7</v>
      </c>
      <c r="D10" s="11" t="n">
        <v>8</v>
      </c>
      <c r="E10" s="11" t="n">
        <v>10</v>
      </c>
      <c r="F10" s="2" t="inlineStr">
        <is>
          <t>Gross × survival rate. Override: 5%</t>
        </is>
      </c>
    </row>
    <row r="11">
      <c r="A11" s="5" t="inlineStr">
        <is>
          <t xml:space="preserve">  L3 (net)</t>
        </is>
      </c>
      <c r="B11" s="11" t="n">
        <v>0</v>
      </c>
      <c r="C11" s="11" t="n">
        <v>15</v>
      </c>
      <c r="D11" s="11" t="n">
        <v>16</v>
      </c>
      <c r="E11" s="11" t="n">
        <v>20</v>
      </c>
      <c r="F11" s="2" t="inlineStr">
        <is>
          <t>Gross × survival rate. Override: 4%</t>
        </is>
      </c>
    </row>
    <row r="12">
      <c r="A12" s="5" t="inlineStr">
        <is>
          <t xml:space="preserve">  L4 (net)</t>
        </is>
      </c>
      <c r="B12" s="11" t="n">
        <v>0</v>
      </c>
      <c r="C12" s="11" t="n">
        <v>47</v>
      </c>
      <c r="D12" s="11" t="n">
        <v>45</v>
      </c>
      <c r="E12" s="11" t="n">
        <v>40</v>
      </c>
      <c r="F12" s="2" t="inlineStr">
        <is>
          <t>Gross × survival rate. Override: 3%</t>
        </is>
      </c>
    </row>
    <row r="13">
      <c r="A13" s="5" t="inlineStr">
        <is>
          <t xml:space="preserve">  L5 (net)</t>
        </is>
      </c>
      <c r="B13" s="11" t="n">
        <v>0</v>
      </c>
      <c r="C13" s="11" t="n">
        <v>0</v>
      </c>
      <c r="D13" s="11" t="n">
        <v>90</v>
      </c>
      <c r="E13" s="11" t="n">
        <v>81</v>
      </c>
      <c r="F13" s="2" t="inlineStr">
        <is>
          <t>Gross × survival rate. Override: 2%</t>
        </is>
      </c>
    </row>
    <row r="14">
      <c r="A14" s="5" t="inlineStr">
        <is>
          <t xml:space="preserve">  L6 (net)</t>
        </is>
      </c>
      <c r="B14" s="11" t="n">
        <v>0</v>
      </c>
      <c r="C14" s="11" t="n">
        <v>0</v>
      </c>
      <c r="D14" s="11" t="n">
        <v>282</v>
      </c>
      <c r="E14" s="11" t="n">
        <v>225</v>
      </c>
      <c r="F14" s="2" t="inlineStr">
        <is>
          <t>Gross × survival rate. Override: 1%</t>
        </is>
      </c>
    </row>
    <row r="15">
      <c r="A15" s="5" t="inlineStr">
        <is>
          <t xml:space="preserve">  L7 (net)</t>
        </is>
      </c>
      <c r="B15" s="11" t="n">
        <v>0</v>
      </c>
      <c r="C15" s="11" t="n">
        <v>0</v>
      </c>
      <c r="D15" s="11" t="n">
        <v>0</v>
      </c>
      <c r="E15" s="11" t="n">
        <v>451</v>
      </c>
      <c r="F15" s="2" t="inlineStr">
        <is>
          <t>Gross × survival rate. Override: 1%</t>
        </is>
      </c>
    </row>
    <row r="16">
      <c r="A16" s="5" t="inlineStr">
        <is>
          <t>TOTAL ACTIVE ORG SIZE</t>
        </is>
      </c>
      <c r="B16" s="12">
        <f>SUM(B9:B15)</f>
        <v/>
      </c>
      <c r="C16" s="12">
        <f>SUM(C9:C15)</f>
        <v/>
      </c>
      <c r="D16" s="12">
        <f>SUM(D9:D15)</f>
        <v/>
      </c>
      <c r="E16" s="12">
        <f>SUM(E9:E15)</f>
        <v/>
      </c>
      <c r="F16" s="2">
        <f> Sum of all active reps across levels</f>
        <v/>
      </c>
    </row>
    <row r="17">
      <c r="A17" s="5" t="inlineStr">
        <is>
          <t>Your org monthly GV</t>
        </is>
      </c>
      <c r="B17" s="6">
        <f>B16*250</f>
        <v/>
      </c>
      <c r="C17" s="6">
        <f>C16*250</f>
        <v/>
      </c>
      <c r="D17" s="6">
        <f>D16*250</f>
        <v/>
      </c>
      <c r="E17" s="6">
        <f>E16*250</f>
        <v/>
      </c>
      <c r="F17" s="2">
        <f> Active org × $250 avg PV</f>
        <v/>
      </c>
    </row>
    <row r="19">
      <c r="A19" s="3" t="inlineStr">
        <is>
          <t>ESTIMATED COMPANY TOTALS</t>
        </is>
      </c>
      <c r="B19" s="3" t="n"/>
      <c r="C19" s="3" t="n"/>
      <c r="D19" s="3" t="n"/>
      <c r="E19" s="3" t="n"/>
      <c r="F19" s="3" t="n"/>
    </row>
    <row r="20">
      <c r="A20" s="4" t="inlineStr"/>
      <c r="B20" s="4" t="inlineStr">
        <is>
          <t>Year 1</t>
        </is>
      </c>
      <c r="C20" s="4" t="inlineStr">
        <is>
          <t>Year 2</t>
        </is>
      </c>
      <c r="D20" s="4" t="inlineStr">
        <is>
          <t>Year 3</t>
        </is>
      </c>
      <c r="E20" s="4" t="inlineStr">
        <is>
          <t>Year 4</t>
        </is>
      </c>
      <c r="F20" s="4" t="inlineStr">
        <is>
          <t>Formula / Notes</t>
        </is>
      </c>
    </row>
    <row r="21">
      <c r="A21" s="5" t="inlineStr">
        <is>
          <t>Total company reps (20 founders × avg)</t>
        </is>
      </c>
      <c r="B21" s="11">
        <f>B16*15</f>
        <v/>
      </c>
      <c r="C21" s="11">
        <f>C16*15</f>
        <v/>
      </c>
      <c r="D21" s="11">
        <f>D16*15</f>
        <v/>
      </c>
      <c r="E21" s="11">
        <f>E16*15</f>
        <v/>
      </c>
      <c r="F21" s="2" t="inlineStr">
        <is>
          <t>~15× your org (not all founders build equally)</t>
        </is>
      </c>
    </row>
    <row r="22">
      <c r="A22" s="5" t="inlineStr">
        <is>
          <t>Monthly company revenue</t>
        </is>
      </c>
      <c r="B22" s="6">
        <f>B21*250</f>
        <v/>
      </c>
      <c r="C22" s="6">
        <f>C21*250</f>
        <v/>
      </c>
      <c r="D22" s="6">
        <f>D21*250</f>
        <v/>
      </c>
      <c r="E22" s="6">
        <f>E21*250</f>
        <v/>
      </c>
      <c r="F22" s="2">
        <f> Total reps × $250</f>
        <v/>
      </c>
    </row>
    <row r="23">
      <c r="A23" s="5" t="inlineStr">
        <is>
          <t>Annual company revenue</t>
        </is>
      </c>
      <c r="B23" s="6">
        <f>B22*12</f>
        <v/>
      </c>
      <c r="C23" s="6">
        <f>C22*12</f>
        <v/>
      </c>
      <c r="D23" s="6">
        <f>D22*12</f>
        <v/>
      </c>
      <c r="E23" s="6">
        <f>E22*12</f>
        <v/>
      </c>
      <c r="F23" s="2">
        <f> Monthly × 12</f>
        <v/>
      </c>
    </row>
    <row r="25">
      <c r="A25" s="3" t="inlineStr">
        <is>
          <t>YOUR MONTHLY EARNINGS</t>
        </is>
      </c>
      <c r="B25" s="3" t="n"/>
      <c r="C25" s="3" t="n"/>
      <c r="D25" s="3" t="n"/>
      <c r="E25" s="3" t="n"/>
      <c r="F25" s="3" t="n"/>
    </row>
    <row r="26">
      <c r="A26" s="4" t="inlineStr"/>
      <c r="B26" s="4" t="inlineStr">
        <is>
          <t>Year 1</t>
        </is>
      </c>
      <c r="C26" s="4" t="inlineStr">
        <is>
          <t>Year 2</t>
        </is>
      </c>
      <c r="D26" s="4" t="inlineStr">
        <is>
          <t>Year 3</t>
        </is>
      </c>
      <c r="E26" s="4" t="inlineStr">
        <is>
          <t>Year 4</t>
        </is>
      </c>
      <c r="F26" s="4" t="inlineStr">
        <is>
          <t>Formula / Notes</t>
        </is>
      </c>
    </row>
    <row r="27">
      <c r="A27" s="5" t="inlineStr">
        <is>
          <t>Personal sales (25%)</t>
        </is>
      </c>
      <c r="B27" s="6" t="n">
        <v>200</v>
      </c>
      <c r="C27" s="6" t="n">
        <v>200</v>
      </c>
      <c r="D27" s="6" t="n">
        <v>200</v>
      </c>
      <c r="E27" s="6" t="n">
        <v>200</v>
      </c>
      <c r="F27" s="2">
        <f> $800 your PV × 25%</f>
        <v/>
      </c>
    </row>
    <row r="28">
      <c r="A28" s="5" t="inlineStr">
        <is>
          <t>L1 override (10%)</t>
        </is>
      </c>
      <c r="B28" s="6">
        <f>B9*250*0.1</f>
        <v/>
      </c>
      <c r="C28" s="6">
        <f>C9*250*0.1</f>
        <v/>
      </c>
      <c r="D28" s="6">
        <f>D9*250*0.1</f>
        <v/>
      </c>
      <c r="E28" s="6">
        <f>E9*250*0.1</f>
        <v/>
      </c>
      <c r="F28" s="2">
        <f> L1 active reps × $250 × 10%</f>
        <v/>
      </c>
    </row>
    <row r="29">
      <c r="A29" s="5" t="inlineStr">
        <is>
          <t>L2 override (5%)</t>
        </is>
      </c>
      <c r="B29" s="6">
        <f>B10*250*0.05</f>
        <v/>
      </c>
      <c r="C29" s="6">
        <f>C10*250*0.05</f>
        <v/>
      </c>
      <c r="D29" s="6">
        <f>D10*250*0.05</f>
        <v/>
      </c>
      <c r="E29" s="6">
        <f>E10*250*0.05</f>
        <v/>
      </c>
      <c r="F29" s="2">
        <f> L2 active reps × $250 × 5%</f>
        <v/>
      </c>
    </row>
    <row r="30">
      <c r="A30" s="5" t="inlineStr">
        <is>
          <t>L3 override (4%)</t>
        </is>
      </c>
      <c r="B30" s="6">
        <f>B11*250*0.04</f>
        <v/>
      </c>
      <c r="C30" s="6">
        <f>C11*250*0.04</f>
        <v/>
      </c>
      <c r="D30" s="6">
        <f>D11*250*0.04</f>
        <v/>
      </c>
      <c r="E30" s="6">
        <f>E11*250*0.04</f>
        <v/>
      </c>
      <c r="F30" s="2">
        <f> L3 active reps × $250 × 4%</f>
        <v/>
      </c>
    </row>
    <row r="31">
      <c r="A31" s="5" t="inlineStr">
        <is>
          <t>L4 override (3%)</t>
        </is>
      </c>
      <c r="B31" s="6">
        <f>B12*250*0.03</f>
        <v/>
      </c>
      <c r="C31" s="6">
        <f>C12*250*0.03</f>
        <v/>
      </c>
      <c r="D31" s="6">
        <f>D12*250*0.03</f>
        <v/>
      </c>
      <c r="E31" s="6">
        <f>E12*250*0.03</f>
        <v/>
      </c>
      <c r="F31" s="2">
        <f> L4 active reps × $250 × 3%</f>
        <v/>
      </c>
    </row>
    <row r="32">
      <c r="A32" s="5" t="inlineStr">
        <is>
          <t>L5 override (2%)</t>
        </is>
      </c>
      <c r="B32" s="6">
        <f>B13*250*0.02</f>
        <v/>
      </c>
      <c r="C32" s="6">
        <f>C13*250*0.02</f>
        <v/>
      </c>
      <c r="D32" s="6">
        <f>D13*250*0.02</f>
        <v/>
      </c>
      <c r="E32" s="6">
        <f>E13*250*0.02</f>
        <v/>
      </c>
      <c r="F32" s="2">
        <f> L5 active reps × $250 × 2%</f>
        <v/>
      </c>
    </row>
    <row r="33">
      <c r="A33" s="5" t="inlineStr">
        <is>
          <t>L6 override (1%)</t>
        </is>
      </c>
      <c r="B33" s="6">
        <f>B14*250*0.01</f>
        <v/>
      </c>
      <c r="C33" s="6">
        <f>C14*250*0.01</f>
        <v/>
      </c>
      <c r="D33" s="6">
        <f>D14*250*0.01</f>
        <v/>
      </c>
      <c r="E33" s="6">
        <f>E14*250*0.01</f>
        <v/>
      </c>
      <c r="F33" s="2">
        <f> L6 active reps × $250 × 1%</f>
        <v/>
      </c>
    </row>
    <row r="34">
      <c r="A34" s="5" t="inlineStr">
        <is>
          <t>L7 override (1%)</t>
        </is>
      </c>
      <c r="B34" s="6">
        <f>B15*250*0.01</f>
        <v/>
      </c>
      <c r="C34" s="6">
        <f>C15*250*0.01</f>
        <v/>
      </c>
      <c r="D34" s="6">
        <f>D15*250*0.01</f>
        <v/>
      </c>
      <c r="E34" s="6">
        <f>E15*250*0.01</f>
        <v/>
      </c>
      <c r="F34" s="2">
        <f> L7 active reps × $250 × 1%</f>
        <v/>
      </c>
    </row>
    <row r="35">
      <c r="A35" s="5" t="inlineStr">
        <is>
          <t>SUBTOTAL: Overrides</t>
        </is>
      </c>
      <c r="B35" s="13">
        <f>SUM(B28:B34)</f>
        <v/>
      </c>
      <c r="C35" s="13">
        <f>SUM(C28:C34)</f>
        <v/>
      </c>
      <c r="D35" s="13">
        <f>SUM(D28:D34)</f>
        <v/>
      </c>
      <c r="E35" s="13">
        <f>SUM(E28:E34)</f>
        <v/>
      </c>
    </row>
    <row r="37">
      <c r="A37" s="5" t="inlineStr">
        <is>
          <t>Leadership pool share</t>
        </is>
      </c>
      <c r="B37" s="6" t="n">
        <v>0</v>
      </c>
      <c r="C37" s="6">
        <f>C22*0.01/5</f>
        <v/>
      </c>
      <c r="D37" s="6">
        <f>D22*0.02/15</f>
        <v/>
      </c>
      <c r="E37" s="6">
        <f>E22*0.03/30</f>
        <v/>
      </c>
      <c r="F37" s="2">
        <f> Company rev × rank pool % ÷ # leaders at your rank</f>
        <v/>
      </c>
    </row>
    <row r="38">
      <c r="A38" s="2" t="inlineStr">
        <is>
          <t xml:space="preserve">  Your rank</t>
        </is>
      </c>
      <c r="B38" s="2" t="inlineStr">
        <is>
          <t>Builder</t>
        </is>
      </c>
      <c r="C38" s="2" t="inlineStr">
        <is>
          <t>Director</t>
        </is>
      </c>
      <c r="D38" s="2" t="inlineStr">
        <is>
          <t>Sr. Director</t>
        </is>
      </c>
      <c r="E38" s="2" t="inlineStr">
        <is>
          <t>VP</t>
        </is>
      </c>
    </row>
    <row r="39">
      <c r="A39" s="2" t="inlineStr">
        <is>
          <t xml:space="preserve">  Leaders sharing this pool</t>
        </is>
      </c>
      <c r="B39" s="2" t="n">
        <v>1</v>
      </c>
      <c r="C39" s="2" t="n">
        <v>5</v>
      </c>
      <c r="D39" s="2" t="n">
        <v>15</v>
      </c>
      <c r="E39" s="2" t="n">
        <v>30</v>
      </c>
    </row>
    <row r="41">
      <c r="A41" s="5" t="inlineStr">
        <is>
          <t>Founding 20 bonus (1% ÷ 20)</t>
        </is>
      </c>
      <c r="B41" s="6">
        <f>B22*0.01/20</f>
        <v/>
      </c>
      <c r="C41" s="6">
        <f>C22*0.01/20</f>
        <v/>
      </c>
      <c r="D41" s="6">
        <f>D22*0.01/20</f>
        <v/>
      </c>
      <c r="E41" s="6">
        <f>E22*0.01/20</f>
        <v/>
      </c>
      <c r="F41" s="2">
        <f> 1% of company monthly revenue ÷ 20 founders</f>
        <v/>
      </c>
    </row>
    <row r="43">
      <c r="A43" s="14" t="inlineStr">
        <is>
          <t>MONTHLY TOTAL</t>
        </is>
      </c>
      <c r="B43" s="15">
        <f>B27+B35+B37+B41</f>
        <v/>
      </c>
      <c r="C43" s="15">
        <f>C27+C35+C37+C41</f>
        <v/>
      </c>
      <c r="D43" s="15">
        <f>D27+D35+D37+D41</f>
        <v/>
      </c>
      <c r="E43" s="15">
        <f>E27+E35+E37+E41</f>
        <v/>
      </c>
    </row>
    <row r="44">
      <c r="A44" s="16" t="inlineStr">
        <is>
          <t>ANNUAL TOTAL</t>
        </is>
      </c>
      <c r="B44" s="17">
        <f>B43*12</f>
        <v/>
      </c>
      <c r="C44" s="17">
        <f>C43*12</f>
        <v/>
      </c>
      <c r="D44" s="17">
        <f>D43*12</f>
        <v/>
      </c>
      <c r="E44" s="17">
        <f>E43*12</f>
        <v/>
      </c>
    </row>
    <row r="46">
      <c r="A46" s="3" t="inlineStr">
        <is>
          <t>SANITY CHECKS</t>
        </is>
      </c>
      <c r="B46" s="3" t="n"/>
      <c r="C46" s="3" t="n"/>
      <c r="D46" s="3" t="n"/>
      <c r="E46" s="3" t="n"/>
      <c r="F46" s="3" t="n"/>
    </row>
    <row r="47">
      <c r="A47" s="9" t="inlineStr">
        <is>
          <t>CHECK 1: Total payout ratio</t>
        </is>
      </c>
    </row>
    <row r="48">
      <c r="A48" s="5" t="inlineStr">
        <is>
          <t>Est. total commissions (all reps)</t>
        </is>
      </c>
      <c r="B48" s="6">
        <f>B22*0.45</f>
        <v/>
      </c>
      <c r="C48" s="6">
        <f>C22*0.45</f>
        <v/>
      </c>
      <c r="D48" s="6">
        <f>D22*0.45</f>
        <v/>
      </c>
      <c r="E48" s="6">
        <f>E22*0.45</f>
        <v/>
      </c>
      <c r="F48" s="2" t="inlineStr">
        <is>
          <t>Estimated at ~45% of revenue (retail + overrides + pools)</t>
        </is>
      </c>
    </row>
    <row r="49">
      <c r="A49" s="5" t="inlineStr">
        <is>
          <t>Payout ratio</t>
        </is>
      </c>
      <c r="B49" s="18">
        <f>B48/B22</f>
        <v/>
      </c>
      <c r="C49" s="18">
        <f>C48/C22</f>
        <v/>
      </c>
      <c r="D49" s="18">
        <f>D48/D22</f>
        <v/>
      </c>
      <c r="E49" s="18">
        <f>E48/E22</f>
        <v/>
      </c>
      <c r="F49" s="2" t="inlineStr">
        <is>
          <t>TARGET: 35-50%. Over 55% = danger.</t>
        </is>
      </c>
    </row>
    <row r="51">
      <c r="A51" s="9" t="inlineStr">
        <is>
          <t>CHECK 2: Can the company afford it?</t>
        </is>
      </c>
    </row>
    <row r="52">
      <c r="A52" s="5" t="inlineStr">
        <is>
          <t>Monthly company revenue</t>
        </is>
      </c>
      <c r="B52" s="6">
        <f>B22</f>
        <v/>
      </c>
      <c r="C52" s="6">
        <f>C22</f>
        <v/>
      </c>
      <c r="D52" s="6">
        <f>D22</f>
        <v/>
      </c>
      <c r="E52" s="6">
        <f>E22</f>
        <v/>
      </c>
    </row>
    <row r="53">
      <c r="A53" s="5" t="inlineStr">
        <is>
          <t>- Product COGS (20%)</t>
        </is>
      </c>
      <c r="B53" s="6">
        <f>-B22*0.20</f>
        <v/>
      </c>
      <c r="C53" s="6">
        <f>-C22*0.20</f>
        <v/>
      </c>
      <c r="D53" s="6">
        <f>-D22*0.20</f>
        <v/>
      </c>
      <c r="E53" s="6">
        <f>-E22*0.20</f>
        <v/>
      </c>
    </row>
    <row r="54">
      <c r="A54" s="5" t="inlineStr">
        <is>
          <t>- Total commissions (~45%)</t>
        </is>
      </c>
      <c r="B54" s="6">
        <f>-B48</f>
        <v/>
      </c>
      <c r="C54" s="6">
        <f>-C48</f>
        <v/>
      </c>
      <c r="D54" s="6">
        <f>-D48</f>
        <v/>
      </c>
      <c r="E54" s="6">
        <f>-E48</f>
        <v/>
      </c>
    </row>
    <row r="55">
      <c r="A55" s="5" t="inlineStr">
        <is>
          <t>- Shipping &amp; ops (10%)</t>
        </is>
      </c>
      <c r="B55" s="6">
        <f>-B22*0.10</f>
        <v/>
      </c>
      <c r="C55" s="6">
        <f>-C22*0.10</f>
        <v/>
      </c>
      <c r="D55" s="6">
        <f>-D22*0.10</f>
        <v/>
      </c>
      <c r="E55" s="6">
        <f>-E22*0.10</f>
        <v/>
      </c>
    </row>
    <row r="56">
      <c r="A56" s="5">
        <f> GROSS PROFIT</f>
        <v/>
      </c>
      <c r="B56" s="13">
        <f>B52+B53+B54+B55</f>
        <v/>
      </c>
      <c r="C56" s="13">
        <f>C52+C53+C54+C55</f>
        <v/>
      </c>
      <c r="D56" s="13">
        <f>D52+D53+D54+D55</f>
        <v/>
      </c>
      <c r="E56" s="13">
        <f>E52+E53+E54+E55</f>
        <v/>
      </c>
    </row>
    <row r="57">
      <c r="A57" s="5" t="inlineStr">
        <is>
          <t>Gross margin %</t>
        </is>
      </c>
      <c r="B57" s="18">
        <f>B56/B52</f>
        <v/>
      </c>
      <c r="C57" s="18">
        <f>C56/C52</f>
        <v/>
      </c>
      <c r="D57" s="18">
        <f>D56/D52</f>
        <v/>
      </c>
      <c r="E57" s="18">
        <f>E56/E52</f>
        <v/>
      </c>
      <c r="F57" s="2" t="inlineStr">
        <is>
          <t>TARGET: 20%+. Under 15% = unsustainable.</t>
        </is>
      </c>
    </row>
    <row r="59">
      <c r="A59" s="9" t="inlineStr">
        <is>
          <t>CHECK 3: Median rep earnings</t>
        </is>
      </c>
    </row>
    <row r="60">
      <c r="A60" s="5" t="inlineStr">
        <is>
          <t>Median rep (sells avg PV, no team)</t>
        </is>
      </c>
      <c r="B60" s="6" t="n">
        <v>62</v>
      </c>
      <c r="C60" s="6" t="n">
        <v>62</v>
      </c>
      <c r="D60" s="6" t="n">
        <v>62</v>
      </c>
      <c r="E60" s="6" t="n">
        <v>62</v>
      </c>
      <c r="F60" s="2">
        <f> $250 × 25% retail only. Most reps earn ONLY this.</f>
        <v/>
      </c>
    </row>
    <row r="61">
      <c r="A61" s="5" t="inlineStr">
        <is>
          <t>Median rep annual</t>
        </is>
      </c>
      <c r="B61" s="6">
        <f>B60*12</f>
        <v/>
      </c>
      <c r="C61" s="6">
        <f>C60*12</f>
        <v/>
      </c>
      <c r="D61" s="6">
        <f>D60*12</f>
        <v/>
      </c>
      <c r="E61" s="6">
        <f>E60*12</f>
        <v/>
      </c>
      <c r="F61" s="2" t="inlineStr">
        <is>
          <t>This is what MOST of your reps will actually make</t>
        </is>
      </c>
    </row>
    <row r="63">
      <c r="A63" s="9" t="inlineStr">
        <is>
          <t>CHECK 4: Top-heaviness</t>
        </is>
      </c>
    </row>
    <row r="64">
      <c r="A64" s="5" t="inlineStr">
        <is>
          <t>Your annual earnings</t>
        </is>
      </c>
      <c r="B64" s="6">
        <f>B44</f>
        <v/>
      </c>
      <c r="C64" s="6">
        <f>C44</f>
        <v/>
      </c>
      <c r="D64" s="6">
        <f>D44</f>
        <v/>
      </c>
      <c r="E64" s="6">
        <f>E44</f>
        <v/>
      </c>
    </row>
    <row r="65">
      <c r="A65" s="5" t="inlineStr">
        <is>
          <t>Top 20 founders combined (est.)</t>
        </is>
      </c>
      <c r="B65" s="6">
        <f>B44*0.6*20</f>
        <v/>
      </c>
      <c r="C65" s="6">
        <f>C44*0.6*20</f>
        <v/>
      </c>
      <c r="D65" s="6">
        <f>D44*0.6*20</f>
        <v/>
      </c>
      <c r="E65" s="6">
        <f>E44*0.6*20</f>
        <v/>
      </c>
      <c r="F65" s="2" t="inlineStr">
        <is>
          <t>Est. avg founder earns ~60% of top builder</t>
        </is>
      </c>
    </row>
    <row r="66">
      <c r="A66" s="5" t="inlineStr">
        <is>
          <t>Total annual commissions (all reps)</t>
        </is>
      </c>
      <c r="B66" s="6">
        <f>B48*12</f>
        <v/>
      </c>
      <c r="C66" s="6">
        <f>C48*12</f>
        <v/>
      </c>
      <c r="D66" s="6">
        <f>D48*12</f>
        <v/>
      </c>
      <c r="E66" s="6">
        <f>E48*12</f>
        <v/>
      </c>
    </row>
    <row r="67">
      <c r="A67" s="5" t="inlineStr">
        <is>
          <t>Top 20 as % of all commissions</t>
        </is>
      </c>
      <c r="B67" s="18">
        <f>B65/B66</f>
        <v/>
      </c>
      <c r="C67" s="18">
        <f>C65/C66</f>
        <v/>
      </c>
      <c r="D67" s="18">
        <f>D65/D66</f>
        <v/>
      </c>
      <c r="E67" s="18">
        <f>E65/E66</f>
        <v/>
      </c>
      <c r="F67" s="2" t="inlineStr">
        <is>
          <t>TARGET: Under 30%. Over 40% = too top-heavy.</t>
        </is>
      </c>
    </row>
    <row r="69">
      <c r="A69" s="9" t="inlineStr">
        <is>
          <t>CHECK 5: Max theoretical payout stack</t>
        </is>
      </c>
    </row>
    <row r="70">
      <c r="A70" s="5" t="inlineStr">
        <is>
          <t>Retail: 25% + Overrides: 26% + Pools: 4% + F20: 1%</t>
        </is>
      </c>
      <c r="B70" s="19" t="n">
        <v>0.5600000000000001</v>
      </c>
      <c r="F70" s="2" t="inlineStr">
        <is>
          <t>TARGET: Under 65%. Actual payout will be lower since most don't unlock all levels.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45" customWidth="1" min="6" max="6"/>
  </cols>
  <sheetData>
    <row r="1">
      <c r="A1" s="1" t="inlineStr">
        <is>
          <t>FOUNDING GLOW GIRL — OPTIMISTIC ($500 avg PV, low churn)</t>
        </is>
      </c>
    </row>
    <row r="2">
      <c r="A2" s="2" t="inlineStr">
        <is>
          <t>Avg PV: $500/mo | Your PV: $1500/mo | 12mo survival: 65%</t>
        </is>
      </c>
    </row>
    <row r="4">
      <c r="A4" s="3" t="inlineStr">
        <is>
          <t>YOUR ORGANIZATION (bottom-up with churn)</t>
        </is>
      </c>
      <c r="B4" s="3" t="n"/>
      <c r="C4" s="3" t="n"/>
      <c r="D4" s="3" t="n"/>
      <c r="E4" s="3" t="n"/>
      <c r="F4" s="3" t="n"/>
    </row>
    <row r="5">
      <c r="A5" s="4" t="inlineStr"/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  <c r="F5" s="4" t="inlineStr">
        <is>
          <t>Formula / Notes</t>
        </is>
      </c>
    </row>
    <row r="6">
      <c r="A6" s="5" t="inlineStr">
        <is>
          <t>Gross L1 recruits (cumulative)</t>
        </is>
      </c>
      <c r="B6" s="11" t="n">
        <v>8</v>
      </c>
      <c r="C6" s="11" t="n">
        <v>15</v>
      </c>
      <c r="D6" s="11" t="n">
        <v>25</v>
      </c>
      <c r="E6" s="11" t="n">
        <v>30</v>
      </c>
      <c r="F6" s="2" t="inlineStr">
        <is>
          <t>Total people YOU have ever recruited</t>
        </is>
      </c>
    </row>
    <row r="7">
      <c r="A7" s="5" t="inlineStr"/>
    </row>
    <row r="8">
      <c r="A8" s="5" t="inlineStr">
        <is>
          <t>ACTIVE REPS BY LEVEL (after churn)</t>
        </is>
      </c>
    </row>
    <row r="9">
      <c r="A9" s="5" t="inlineStr">
        <is>
          <t xml:space="preserve">  L1: Your direct recruits (net)</t>
        </is>
      </c>
      <c r="B9" s="11" t="n">
        <v>5</v>
      </c>
      <c r="C9" s="11" t="n">
        <v>7</v>
      </c>
      <c r="D9" s="11" t="n">
        <v>13</v>
      </c>
      <c r="E9" s="11" t="n">
        <v>15</v>
      </c>
      <c r="F9" s="2" t="inlineStr">
        <is>
          <t>Gross × survival rate. Override: 10%</t>
        </is>
      </c>
    </row>
    <row r="10">
      <c r="A10" s="5" t="inlineStr">
        <is>
          <t xml:space="preserve">  L2: Their recruits (net)</t>
        </is>
      </c>
      <c r="B10" s="11" t="n">
        <v>23</v>
      </c>
      <c r="C10" s="11" t="n">
        <v>33</v>
      </c>
      <c r="D10" s="11" t="n">
        <v>45</v>
      </c>
      <c r="E10" s="11" t="n">
        <v>54</v>
      </c>
      <c r="F10" s="2" t="inlineStr">
        <is>
          <t>Gross × survival rate. Override: 5%</t>
        </is>
      </c>
    </row>
    <row r="11">
      <c r="A11" s="5" t="inlineStr">
        <is>
          <t xml:space="preserve">  L3 (net)</t>
        </is>
      </c>
      <c r="B11" s="11" t="n">
        <v>0</v>
      </c>
      <c r="C11" s="11" t="n">
        <v>118</v>
      </c>
      <c r="D11" s="11" t="n">
        <v>158</v>
      </c>
      <c r="E11" s="11" t="n">
        <v>190</v>
      </c>
      <c r="F11" s="2" t="inlineStr">
        <is>
          <t>Gross × survival rate. Override: 4%</t>
        </is>
      </c>
    </row>
    <row r="12">
      <c r="A12" s="5" t="inlineStr">
        <is>
          <t xml:space="preserve">  L4 (net)</t>
        </is>
      </c>
      <c r="B12" s="11" t="n">
        <v>0</v>
      </c>
      <c r="C12" s="11" t="n">
        <v>525</v>
      </c>
      <c r="D12" s="11" t="n">
        <v>691</v>
      </c>
      <c r="E12" s="11" t="n">
        <v>667</v>
      </c>
      <c r="F12" s="2" t="inlineStr">
        <is>
          <t>Gross × survival rate. Override: 3%</t>
        </is>
      </c>
    </row>
    <row r="13">
      <c r="A13" s="5" t="inlineStr">
        <is>
          <t xml:space="preserve">  L5 (net)</t>
        </is>
      </c>
      <c r="B13" s="11" t="n">
        <v>0</v>
      </c>
      <c r="C13" s="11" t="n">
        <v>0</v>
      </c>
      <c r="D13" s="11" t="n">
        <v>2420</v>
      </c>
      <c r="E13" s="11" t="n">
        <v>2336</v>
      </c>
      <c r="F13" s="2" t="inlineStr">
        <is>
          <t>Gross × survival rate. Override: 2%</t>
        </is>
      </c>
    </row>
    <row r="14">
      <c r="A14" s="5" t="inlineStr">
        <is>
          <t xml:space="preserve">  L6 (net)</t>
        </is>
      </c>
      <c r="B14" s="11" t="n">
        <v>0</v>
      </c>
      <c r="C14" s="11" t="n">
        <v>0</v>
      </c>
      <c r="D14" s="11" t="n">
        <v>10753</v>
      </c>
      <c r="E14" s="11" t="n">
        <v>10223</v>
      </c>
      <c r="F14" s="2" t="inlineStr">
        <is>
          <t>Gross × survival rate. Override: 1%</t>
        </is>
      </c>
    </row>
    <row r="15">
      <c r="A15" s="5" t="inlineStr">
        <is>
          <t xml:space="preserve">  L7 (net)</t>
        </is>
      </c>
      <c r="B15" s="11" t="n">
        <v>0</v>
      </c>
      <c r="C15" s="11" t="n">
        <v>0</v>
      </c>
      <c r="D15" s="11" t="n">
        <v>0</v>
      </c>
      <c r="E15" s="11" t="n">
        <v>35783</v>
      </c>
      <c r="F15" s="2" t="inlineStr">
        <is>
          <t>Gross × survival rate. Override: 1%</t>
        </is>
      </c>
    </row>
    <row r="16">
      <c r="A16" s="5" t="inlineStr">
        <is>
          <t>TOTAL ACTIVE ORG SIZE</t>
        </is>
      </c>
      <c r="B16" s="12">
        <f>SUM(B9:B15)</f>
        <v/>
      </c>
      <c r="C16" s="12">
        <f>SUM(C9:C15)</f>
        <v/>
      </c>
      <c r="D16" s="12">
        <f>SUM(D9:D15)</f>
        <v/>
      </c>
      <c r="E16" s="12">
        <f>SUM(E9:E15)</f>
        <v/>
      </c>
      <c r="F16" s="2">
        <f> Sum of all active reps across levels</f>
        <v/>
      </c>
    </row>
    <row r="17">
      <c r="A17" s="5" t="inlineStr">
        <is>
          <t>Your org monthly GV</t>
        </is>
      </c>
      <c r="B17" s="6">
        <f>B16*500</f>
        <v/>
      </c>
      <c r="C17" s="6">
        <f>C16*500</f>
        <v/>
      </c>
      <c r="D17" s="6">
        <f>D16*500</f>
        <v/>
      </c>
      <c r="E17" s="6">
        <f>E16*500</f>
        <v/>
      </c>
      <c r="F17" s="2">
        <f> Active org × $500 avg PV</f>
        <v/>
      </c>
    </row>
    <row r="19">
      <c r="A19" s="3" t="inlineStr">
        <is>
          <t>ESTIMATED COMPANY TOTALS</t>
        </is>
      </c>
      <c r="B19" s="3" t="n"/>
      <c r="C19" s="3" t="n"/>
      <c r="D19" s="3" t="n"/>
      <c r="E19" s="3" t="n"/>
      <c r="F19" s="3" t="n"/>
    </row>
    <row r="20">
      <c r="A20" s="4" t="inlineStr"/>
      <c r="B20" s="4" t="inlineStr">
        <is>
          <t>Year 1</t>
        </is>
      </c>
      <c r="C20" s="4" t="inlineStr">
        <is>
          <t>Year 2</t>
        </is>
      </c>
      <c r="D20" s="4" t="inlineStr">
        <is>
          <t>Year 3</t>
        </is>
      </c>
      <c r="E20" s="4" t="inlineStr">
        <is>
          <t>Year 4</t>
        </is>
      </c>
      <c r="F20" s="4" t="inlineStr">
        <is>
          <t>Formula / Notes</t>
        </is>
      </c>
    </row>
    <row r="21">
      <c r="A21" s="5" t="inlineStr">
        <is>
          <t>Total company reps (20 founders × avg)</t>
        </is>
      </c>
      <c r="B21" s="11">
        <f>B16*15</f>
        <v/>
      </c>
      <c r="C21" s="11">
        <f>C16*15</f>
        <v/>
      </c>
      <c r="D21" s="11">
        <f>D16*15</f>
        <v/>
      </c>
      <c r="E21" s="11">
        <f>E16*15</f>
        <v/>
      </c>
      <c r="F21" s="2" t="inlineStr">
        <is>
          <t>~15× your org (not all founders build equally)</t>
        </is>
      </c>
    </row>
    <row r="22">
      <c r="A22" s="5" t="inlineStr">
        <is>
          <t>Monthly company revenue</t>
        </is>
      </c>
      <c r="B22" s="6">
        <f>B21*500</f>
        <v/>
      </c>
      <c r="C22" s="6">
        <f>C21*500</f>
        <v/>
      </c>
      <c r="D22" s="6">
        <f>D21*500</f>
        <v/>
      </c>
      <c r="E22" s="6">
        <f>E21*500</f>
        <v/>
      </c>
      <c r="F22" s="2">
        <f> Total reps × $500</f>
        <v/>
      </c>
    </row>
    <row r="23">
      <c r="A23" s="5" t="inlineStr">
        <is>
          <t>Annual company revenue</t>
        </is>
      </c>
      <c r="B23" s="6">
        <f>B22*12</f>
        <v/>
      </c>
      <c r="C23" s="6">
        <f>C22*12</f>
        <v/>
      </c>
      <c r="D23" s="6">
        <f>D22*12</f>
        <v/>
      </c>
      <c r="E23" s="6">
        <f>E22*12</f>
        <v/>
      </c>
      <c r="F23" s="2">
        <f> Monthly × 12</f>
        <v/>
      </c>
    </row>
    <row r="25">
      <c r="A25" s="3" t="inlineStr">
        <is>
          <t>YOUR MONTHLY EARNINGS</t>
        </is>
      </c>
      <c r="B25" s="3" t="n"/>
      <c r="C25" s="3" t="n"/>
      <c r="D25" s="3" t="n"/>
      <c r="E25" s="3" t="n"/>
      <c r="F25" s="3" t="n"/>
    </row>
    <row r="26">
      <c r="A26" s="4" t="inlineStr"/>
      <c r="B26" s="4" t="inlineStr">
        <is>
          <t>Year 1</t>
        </is>
      </c>
      <c r="C26" s="4" t="inlineStr">
        <is>
          <t>Year 2</t>
        </is>
      </c>
      <c r="D26" s="4" t="inlineStr">
        <is>
          <t>Year 3</t>
        </is>
      </c>
      <c r="E26" s="4" t="inlineStr">
        <is>
          <t>Year 4</t>
        </is>
      </c>
      <c r="F26" s="4" t="inlineStr">
        <is>
          <t>Formula / Notes</t>
        </is>
      </c>
    </row>
    <row r="27">
      <c r="A27" s="5" t="inlineStr">
        <is>
          <t>Personal sales (25%)</t>
        </is>
      </c>
      <c r="B27" s="6" t="n">
        <v>375</v>
      </c>
      <c r="C27" s="6" t="n">
        <v>375</v>
      </c>
      <c r="D27" s="6" t="n">
        <v>375</v>
      </c>
      <c r="E27" s="6" t="n">
        <v>375</v>
      </c>
      <c r="F27" s="2">
        <f> $1500 your PV × 25%</f>
        <v/>
      </c>
    </row>
    <row r="28">
      <c r="A28" s="5" t="inlineStr">
        <is>
          <t>L1 override (10%)</t>
        </is>
      </c>
      <c r="B28" s="6">
        <f>B9*500*0.1</f>
        <v/>
      </c>
      <c r="C28" s="6">
        <f>C9*500*0.1</f>
        <v/>
      </c>
      <c r="D28" s="6">
        <f>D9*500*0.1</f>
        <v/>
      </c>
      <c r="E28" s="6">
        <f>E9*500*0.1</f>
        <v/>
      </c>
      <c r="F28" s="2">
        <f> L1 active reps × $500 × 10%</f>
        <v/>
      </c>
    </row>
    <row r="29">
      <c r="A29" s="5" t="inlineStr">
        <is>
          <t>L2 override (5%)</t>
        </is>
      </c>
      <c r="B29" s="6">
        <f>B10*500*0.05</f>
        <v/>
      </c>
      <c r="C29" s="6">
        <f>C10*500*0.05</f>
        <v/>
      </c>
      <c r="D29" s="6">
        <f>D10*500*0.05</f>
        <v/>
      </c>
      <c r="E29" s="6">
        <f>E10*500*0.05</f>
        <v/>
      </c>
      <c r="F29" s="2">
        <f> L2 active reps × $500 × 5%</f>
        <v/>
      </c>
    </row>
    <row r="30">
      <c r="A30" s="5" t="inlineStr">
        <is>
          <t>L3 override (4%)</t>
        </is>
      </c>
      <c r="B30" s="6">
        <f>B11*500*0.04</f>
        <v/>
      </c>
      <c r="C30" s="6">
        <f>C11*500*0.04</f>
        <v/>
      </c>
      <c r="D30" s="6">
        <f>D11*500*0.04</f>
        <v/>
      </c>
      <c r="E30" s="6">
        <f>E11*500*0.04</f>
        <v/>
      </c>
      <c r="F30" s="2">
        <f> L3 active reps × $500 × 4%</f>
        <v/>
      </c>
    </row>
    <row r="31">
      <c r="A31" s="5" t="inlineStr">
        <is>
          <t>L4 override (3%)</t>
        </is>
      </c>
      <c r="B31" s="6">
        <f>B12*500*0.03</f>
        <v/>
      </c>
      <c r="C31" s="6">
        <f>C12*500*0.03</f>
        <v/>
      </c>
      <c r="D31" s="6">
        <f>D12*500*0.03</f>
        <v/>
      </c>
      <c r="E31" s="6">
        <f>E12*500*0.03</f>
        <v/>
      </c>
      <c r="F31" s="2">
        <f> L4 active reps × $500 × 3%</f>
        <v/>
      </c>
    </row>
    <row r="32">
      <c r="A32" s="5" t="inlineStr">
        <is>
          <t>L5 override (2%)</t>
        </is>
      </c>
      <c r="B32" s="6">
        <f>B13*500*0.02</f>
        <v/>
      </c>
      <c r="C32" s="6">
        <f>C13*500*0.02</f>
        <v/>
      </c>
      <c r="D32" s="6">
        <f>D13*500*0.02</f>
        <v/>
      </c>
      <c r="E32" s="6">
        <f>E13*500*0.02</f>
        <v/>
      </c>
      <c r="F32" s="2">
        <f> L5 active reps × $500 × 2%</f>
        <v/>
      </c>
    </row>
    <row r="33">
      <c r="A33" s="5" t="inlineStr">
        <is>
          <t>L6 override (1%)</t>
        </is>
      </c>
      <c r="B33" s="6">
        <f>B14*500*0.01</f>
        <v/>
      </c>
      <c r="C33" s="6">
        <f>C14*500*0.01</f>
        <v/>
      </c>
      <c r="D33" s="6">
        <f>D14*500*0.01</f>
        <v/>
      </c>
      <c r="E33" s="6">
        <f>E14*500*0.01</f>
        <v/>
      </c>
      <c r="F33" s="2">
        <f> L6 active reps × $500 × 1%</f>
        <v/>
      </c>
    </row>
    <row r="34">
      <c r="A34" s="5" t="inlineStr">
        <is>
          <t>L7 override (1%)</t>
        </is>
      </c>
      <c r="B34" s="6">
        <f>B15*500*0.01</f>
        <v/>
      </c>
      <c r="C34" s="6">
        <f>C15*500*0.01</f>
        <v/>
      </c>
      <c r="D34" s="6">
        <f>D15*500*0.01</f>
        <v/>
      </c>
      <c r="E34" s="6">
        <f>E15*500*0.01</f>
        <v/>
      </c>
      <c r="F34" s="2">
        <f> L7 active reps × $500 × 1%</f>
        <v/>
      </c>
    </row>
    <row r="35">
      <c r="A35" s="5" t="inlineStr">
        <is>
          <t>SUBTOTAL: Overrides</t>
        </is>
      </c>
      <c r="B35" s="13">
        <f>SUM(B28:B34)</f>
        <v/>
      </c>
      <c r="C35" s="13">
        <f>SUM(C28:C34)</f>
        <v/>
      </c>
      <c r="D35" s="13">
        <f>SUM(D28:D34)</f>
        <v/>
      </c>
      <c r="E35" s="13">
        <f>SUM(E28:E34)</f>
        <v/>
      </c>
    </row>
    <row r="37">
      <c r="A37" s="5" t="inlineStr">
        <is>
          <t>Leadership pool share</t>
        </is>
      </c>
      <c r="B37" s="6" t="n">
        <v>0</v>
      </c>
      <c r="C37" s="6">
        <f>C22*0.01/5</f>
        <v/>
      </c>
      <c r="D37" s="6">
        <f>D22*0.02/15</f>
        <v/>
      </c>
      <c r="E37" s="6">
        <f>E22*0.03/30</f>
        <v/>
      </c>
      <c r="F37" s="2">
        <f> Company rev × rank pool % ÷ # leaders at your rank</f>
        <v/>
      </c>
    </row>
    <row r="38">
      <c r="A38" s="2" t="inlineStr">
        <is>
          <t xml:space="preserve">  Your rank</t>
        </is>
      </c>
      <c r="B38" s="2" t="inlineStr">
        <is>
          <t>Builder</t>
        </is>
      </c>
      <c r="C38" s="2" t="inlineStr">
        <is>
          <t>Director</t>
        </is>
      </c>
      <c r="D38" s="2" t="inlineStr">
        <is>
          <t>Sr. Director</t>
        </is>
      </c>
      <c r="E38" s="2" t="inlineStr">
        <is>
          <t>VP</t>
        </is>
      </c>
    </row>
    <row r="39">
      <c r="A39" s="2" t="inlineStr">
        <is>
          <t xml:space="preserve">  Leaders sharing this pool</t>
        </is>
      </c>
      <c r="B39" s="2" t="n">
        <v>1</v>
      </c>
      <c r="C39" s="2" t="n">
        <v>5</v>
      </c>
      <c r="D39" s="2" t="n">
        <v>15</v>
      </c>
      <c r="E39" s="2" t="n">
        <v>30</v>
      </c>
    </row>
    <row r="41">
      <c r="A41" s="5" t="inlineStr">
        <is>
          <t>Founding 20 bonus (1% ÷ 20)</t>
        </is>
      </c>
      <c r="B41" s="6">
        <f>B22*0.01/20</f>
        <v/>
      </c>
      <c r="C41" s="6">
        <f>C22*0.01/20</f>
        <v/>
      </c>
      <c r="D41" s="6">
        <f>D22*0.01/20</f>
        <v/>
      </c>
      <c r="E41" s="6">
        <f>E22*0.01/20</f>
        <v/>
      </c>
      <c r="F41" s="2">
        <f> 1% of company monthly revenue ÷ 20 founders</f>
        <v/>
      </c>
    </row>
    <row r="43">
      <c r="A43" s="14" t="inlineStr">
        <is>
          <t>MONTHLY TOTAL</t>
        </is>
      </c>
      <c r="B43" s="15">
        <f>B27+B35+B37+B41</f>
        <v/>
      </c>
      <c r="C43" s="15">
        <f>C27+C35+C37+C41</f>
        <v/>
      </c>
      <c r="D43" s="15">
        <f>D27+D35+D37+D41</f>
        <v/>
      </c>
      <c r="E43" s="15">
        <f>E27+E35+E37+E41</f>
        <v/>
      </c>
    </row>
    <row r="44">
      <c r="A44" s="16" t="inlineStr">
        <is>
          <t>ANNUAL TOTAL</t>
        </is>
      </c>
      <c r="B44" s="17">
        <f>B43*12</f>
        <v/>
      </c>
      <c r="C44" s="17">
        <f>C43*12</f>
        <v/>
      </c>
      <c r="D44" s="17">
        <f>D43*12</f>
        <v/>
      </c>
      <c r="E44" s="17">
        <f>E43*12</f>
        <v/>
      </c>
    </row>
    <row r="46">
      <c r="A46" s="3" t="inlineStr">
        <is>
          <t>SANITY CHECKS</t>
        </is>
      </c>
      <c r="B46" s="3" t="n"/>
      <c r="C46" s="3" t="n"/>
      <c r="D46" s="3" t="n"/>
      <c r="E46" s="3" t="n"/>
      <c r="F46" s="3" t="n"/>
    </row>
    <row r="47">
      <c r="A47" s="9" t="inlineStr">
        <is>
          <t>CHECK 1: Total payout ratio</t>
        </is>
      </c>
    </row>
    <row r="48">
      <c r="A48" s="5" t="inlineStr">
        <is>
          <t>Est. total commissions (all reps)</t>
        </is>
      </c>
      <c r="B48" s="6">
        <f>B22*0.45</f>
        <v/>
      </c>
      <c r="C48" s="6">
        <f>C22*0.45</f>
        <v/>
      </c>
      <c r="D48" s="6">
        <f>D22*0.45</f>
        <v/>
      </c>
      <c r="E48" s="6">
        <f>E22*0.45</f>
        <v/>
      </c>
      <c r="F48" s="2" t="inlineStr">
        <is>
          <t>Estimated at ~45% of revenue (retail + overrides + pools)</t>
        </is>
      </c>
    </row>
    <row r="49">
      <c r="A49" s="5" t="inlineStr">
        <is>
          <t>Payout ratio</t>
        </is>
      </c>
      <c r="B49" s="18">
        <f>B48/B22</f>
        <v/>
      </c>
      <c r="C49" s="18">
        <f>C48/C22</f>
        <v/>
      </c>
      <c r="D49" s="18">
        <f>D48/D22</f>
        <v/>
      </c>
      <c r="E49" s="18">
        <f>E48/E22</f>
        <v/>
      </c>
      <c r="F49" s="2" t="inlineStr">
        <is>
          <t>TARGET: 35-50%. Over 55% = danger.</t>
        </is>
      </c>
    </row>
    <row r="51">
      <c r="A51" s="9" t="inlineStr">
        <is>
          <t>CHECK 2: Can the company afford it?</t>
        </is>
      </c>
    </row>
    <row r="52">
      <c r="A52" s="5" t="inlineStr">
        <is>
          <t>Monthly company revenue</t>
        </is>
      </c>
      <c r="B52" s="6">
        <f>B22</f>
        <v/>
      </c>
      <c r="C52" s="6">
        <f>C22</f>
        <v/>
      </c>
      <c r="D52" s="6">
        <f>D22</f>
        <v/>
      </c>
      <c r="E52" s="6">
        <f>E22</f>
        <v/>
      </c>
    </row>
    <row r="53">
      <c r="A53" s="5" t="inlineStr">
        <is>
          <t>- Product COGS (20%)</t>
        </is>
      </c>
      <c r="B53" s="6">
        <f>-B22*0.20</f>
        <v/>
      </c>
      <c r="C53" s="6">
        <f>-C22*0.20</f>
        <v/>
      </c>
      <c r="D53" s="6">
        <f>-D22*0.20</f>
        <v/>
      </c>
      <c r="E53" s="6">
        <f>-E22*0.20</f>
        <v/>
      </c>
    </row>
    <row r="54">
      <c r="A54" s="5" t="inlineStr">
        <is>
          <t>- Total commissions (~45%)</t>
        </is>
      </c>
      <c r="B54" s="6">
        <f>-B48</f>
        <v/>
      </c>
      <c r="C54" s="6">
        <f>-C48</f>
        <v/>
      </c>
      <c r="D54" s="6">
        <f>-D48</f>
        <v/>
      </c>
      <c r="E54" s="6">
        <f>-E48</f>
        <v/>
      </c>
    </row>
    <row r="55">
      <c r="A55" s="5" t="inlineStr">
        <is>
          <t>- Shipping &amp; ops (10%)</t>
        </is>
      </c>
      <c r="B55" s="6">
        <f>-B22*0.10</f>
        <v/>
      </c>
      <c r="C55" s="6">
        <f>-C22*0.10</f>
        <v/>
      </c>
      <c r="D55" s="6">
        <f>-D22*0.10</f>
        <v/>
      </c>
      <c r="E55" s="6">
        <f>-E22*0.10</f>
        <v/>
      </c>
    </row>
    <row r="56">
      <c r="A56" s="5">
        <f> GROSS PROFIT</f>
        <v/>
      </c>
      <c r="B56" s="13">
        <f>B52+B53+B54+B55</f>
        <v/>
      </c>
      <c r="C56" s="13">
        <f>C52+C53+C54+C55</f>
        <v/>
      </c>
      <c r="D56" s="13">
        <f>D52+D53+D54+D55</f>
        <v/>
      </c>
      <c r="E56" s="13">
        <f>E52+E53+E54+E55</f>
        <v/>
      </c>
    </row>
    <row r="57">
      <c r="A57" s="5" t="inlineStr">
        <is>
          <t>Gross margin %</t>
        </is>
      </c>
      <c r="B57" s="18">
        <f>B56/B52</f>
        <v/>
      </c>
      <c r="C57" s="18">
        <f>C56/C52</f>
        <v/>
      </c>
      <c r="D57" s="18">
        <f>D56/D52</f>
        <v/>
      </c>
      <c r="E57" s="18">
        <f>E56/E52</f>
        <v/>
      </c>
      <c r="F57" s="2" t="inlineStr">
        <is>
          <t>TARGET: 20%+. Under 15% = unsustainable.</t>
        </is>
      </c>
    </row>
    <row r="59">
      <c r="A59" s="9" t="inlineStr">
        <is>
          <t>CHECK 3: Median rep earnings</t>
        </is>
      </c>
    </row>
    <row r="60">
      <c r="A60" s="5" t="inlineStr">
        <is>
          <t>Median rep (sells avg PV, no team)</t>
        </is>
      </c>
      <c r="B60" s="6" t="n">
        <v>125</v>
      </c>
      <c r="C60" s="6" t="n">
        <v>125</v>
      </c>
      <c r="D60" s="6" t="n">
        <v>125</v>
      </c>
      <c r="E60" s="6" t="n">
        <v>125</v>
      </c>
      <c r="F60" s="2">
        <f> $500 × 25% retail only. Most reps earn ONLY this.</f>
        <v/>
      </c>
    </row>
    <row r="61">
      <c r="A61" s="5" t="inlineStr">
        <is>
          <t>Median rep annual</t>
        </is>
      </c>
      <c r="B61" s="6">
        <f>B60*12</f>
        <v/>
      </c>
      <c r="C61" s="6">
        <f>C60*12</f>
        <v/>
      </c>
      <c r="D61" s="6">
        <f>D60*12</f>
        <v/>
      </c>
      <c r="E61" s="6">
        <f>E60*12</f>
        <v/>
      </c>
      <c r="F61" s="2" t="inlineStr">
        <is>
          <t>This is what MOST of your reps will actually make</t>
        </is>
      </c>
    </row>
    <row r="63">
      <c r="A63" s="9" t="inlineStr">
        <is>
          <t>CHECK 4: Top-heaviness</t>
        </is>
      </c>
    </row>
    <row r="64">
      <c r="A64" s="5" t="inlineStr">
        <is>
          <t>Your annual earnings</t>
        </is>
      </c>
      <c r="B64" s="6">
        <f>B44</f>
        <v/>
      </c>
      <c r="C64" s="6">
        <f>C44</f>
        <v/>
      </c>
      <c r="D64" s="6">
        <f>D44</f>
        <v/>
      </c>
      <c r="E64" s="6">
        <f>E44</f>
        <v/>
      </c>
    </row>
    <row r="65">
      <c r="A65" s="5" t="inlineStr">
        <is>
          <t>Top 20 founders combined (est.)</t>
        </is>
      </c>
      <c r="B65" s="6">
        <f>B44*0.6*20</f>
        <v/>
      </c>
      <c r="C65" s="6">
        <f>C44*0.6*20</f>
        <v/>
      </c>
      <c r="D65" s="6">
        <f>D44*0.6*20</f>
        <v/>
      </c>
      <c r="E65" s="6">
        <f>E44*0.6*20</f>
        <v/>
      </c>
      <c r="F65" s="2" t="inlineStr">
        <is>
          <t>Est. avg founder earns ~60% of top builder</t>
        </is>
      </c>
    </row>
    <row r="66">
      <c r="A66" s="5" t="inlineStr">
        <is>
          <t>Total annual commissions (all reps)</t>
        </is>
      </c>
      <c r="B66" s="6">
        <f>B48*12</f>
        <v/>
      </c>
      <c r="C66" s="6">
        <f>C48*12</f>
        <v/>
      </c>
      <c r="D66" s="6">
        <f>D48*12</f>
        <v/>
      </c>
      <c r="E66" s="6">
        <f>E48*12</f>
        <v/>
      </c>
    </row>
    <row r="67">
      <c r="A67" s="5" t="inlineStr">
        <is>
          <t>Top 20 as % of all commissions</t>
        </is>
      </c>
      <c r="B67" s="18">
        <f>B65/B66</f>
        <v/>
      </c>
      <c r="C67" s="18">
        <f>C65/C66</f>
        <v/>
      </c>
      <c r="D67" s="18">
        <f>D65/D66</f>
        <v/>
      </c>
      <c r="E67" s="18">
        <f>E65/E66</f>
        <v/>
      </c>
      <c r="F67" s="2" t="inlineStr">
        <is>
          <t>TARGET: Under 30%. Over 40% = too top-heavy.</t>
        </is>
      </c>
    </row>
    <row r="69">
      <c r="A69" s="9" t="inlineStr">
        <is>
          <t>CHECK 5: Max theoretical payout stack</t>
        </is>
      </c>
    </row>
    <row r="70">
      <c r="A70" s="5" t="inlineStr">
        <is>
          <t>Retail: 25% + Overrides: 26% + Pools: 4% + F20: 1%</t>
        </is>
      </c>
      <c r="B70" s="19" t="n">
        <v>0.5600000000000001</v>
      </c>
      <c r="F70" s="2" t="inlineStr">
        <is>
          <t>TARGET: Under 65%. Actual payout will be lower since most don't unlock all levels.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SIDE-BY-SIDE COMPARISON</t>
        </is>
      </c>
    </row>
    <row r="3">
      <c r="A3" s="4" t="inlineStr"/>
      <c r="B3" s="4" t="inlineStr">
        <is>
          <t>Cons Y1</t>
        </is>
      </c>
      <c r="C3" s="4" t="inlineStr">
        <is>
          <t>Opt Y1</t>
        </is>
      </c>
      <c r="D3" s="4" t="inlineStr">
        <is>
          <t>Cons Y2</t>
        </is>
      </c>
      <c r="E3" s="4" t="inlineStr">
        <is>
          <t>Opt Y2</t>
        </is>
      </c>
      <c r="F3" s="4" t="inlineStr">
        <is>
          <t>Cons Y3</t>
        </is>
      </c>
      <c r="G3" s="4" t="inlineStr">
        <is>
          <t>Opt Y3</t>
        </is>
      </c>
      <c r="H3" s="4" t="inlineStr">
        <is>
          <t>Cons Y4</t>
        </is>
      </c>
      <c r="I3" s="4" t="inlineStr">
        <is>
          <t>Opt Y4</t>
        </is>
      </c>
    </row>
    <row r="4">
      <c r="A4" s="5" t="inlineStr">
        <is>
          <t>Your active org size</t>
        </is>
      </c>
      <c r="B4" s="11">
        <f>Conservative!B16</f>
        <v/>
      </c>
      <c r="C4" s="20">
        <f>Optimistic!B16</f>
        <v/>
      </c>
      <c r="D4" s="11">
        <f>Conservative!C16</f>
        <v/>
      </c>
      <c r="E4" s="20">
        <f>Optimistic!C16</f>
        <v/>
      </c>
      <c r="F4" s="11">
        <f>Conservative!D16</f>
        <v/>
      </c>
      <c r="G4" s="20">
        <f>Optimistic!D16</f>
        <v/>
      </c>
      <c r="H4" s="11">
        <f>Conservative!E16</f>
        <v/>
      </c>
      <c r="I4" s="20">
        <f>Optimistic!E16</f>
        <v/>
      </c>
    </row>
    <row r="5">
      <c r="A5" s="5" t="inlineStr">
        <is>
          <t>Your org monthly GV</t>
        </is>
      </c>
      <c r="B5" s="6">
        <f>Conservative!B17</f>
        <v/>
      </c>
      <c r="C5" s="21">
        <f>Optimistic!B17</f>
        <v/>
      </c>
      <c r="D5" s="6">
        <f>Conservative!C17</f>
        <v/>
      </c>
      <c r="E5" s="21">
        <f>Optimistic!C17</f>
        <v/>
      </c>
      <c r="F5" s="6">
        <f>Conservative!D17</f>
        <v/>
      </c>
      <c r="G5" s="21">
        <f>Optimistic!D17</f>
        <v/>
      </c>
      <c r="H5" s="6">
        <f>Conservative!E17</f>
        <v/>
      </c>
      <c r="I5" s="21">
        <f>Optimistic!E17</f>
        <v/>
      </c>
    </row>
    <row r="6">
      <c r="A6" s="5" t="inlineStr">
        <is>
          <t>Monthly company revenue</t>
        </is>
      </c>
      <c r="B6" s="6">
        <f>Conservative!B22</f>
        <v/>
      </c>
      <c r="C6" s="21">
        <f>Optimistic!B22</f>
        <v/>
      </c>
      <c r="D6" s="6">
        <f>Conservative!C22</f>
        <v/>
      </c>
      <c r="E6" s="21">
        <f>Optimistic!C22</f>
        <v/>
      </c>
      <c r="F6" s="6">
        <f>Conservative!D22</f>
        <v/>
      </c>
      <c r="G6" s="21">
        <f>Optimistic!D22</f>
        <v/>
      </c>
      <c r="H6" s="6">
        <f>Conservative!E22</f>
        <v/>
      </c>
      <c r="I6" s="21">
        <f>Optimistic!E22</f>
        <v/>
      </c>
    </row>
    <row r="7">
      <c r="A7" s="5" t="inlineStr">
        <is>
          <t>Your monthly earnings</t>
        </is>
      </c>
      <c r="B7" s="6">
        <f>Conservative!B43</f>
        <v/>
      </c>
      <c r="C7" s="21">
        <f>Optimistic!B43</f>
        <v/>
      </c>
      <c r="D7" s="6">
        <f>Conservative!C43</f>
        <v/>
      </c>
      <c r="E7" s="21">
        <f>Optimistic!C43</f>
        <v/>
      </c>
      <c r="F7" s="6">
        <f>Conservative!D43</f>
        <v/>
      </c>
      <c r="G7" s="21">
        <f>Optimistic!D43</f>
        <v/>
      </c>
      <c r="H7" s="6">
        <f>Conservative!E43</f>
        <v/>
      </c>
      <c r="I7" s="21">
        <f>Optimistic!E43</f>
        <v/>
      </c>
    </row>
    <row r="8">
      <c r="A8" s="5" t="inlineStr">
        <is>
          <t>Your annual earnings</t>
        </is>
      </c>
      <c r="B8" s="6">
        <f>Conservative!B44</f>
        <v/>
      </c>
      <c r="C8" s="21">
        <f>Optimistic!B44</f>
        <v/>
      </c>
      <c r="D8" s="6">
        <f>Conservative!C44</f>
        <v/>
      </c>
      <c r="E8" s="21">
        <f>Optimistic!C44</f>
        <v/>
      </c>
      <c r="F8" s="6">
        <f>Conservative!D44</f>
        <v/>
      </c>
      <c r="G8" s="21">
        <f>Optimistic!D44</f>
        <v/>
      </c>
      <c r="H8" s="6">
        <f>Conservative!E44</f>
        <v/>
      </c>
      <c r="I8" s="21">
        <f>Optimistic!E44</f>
        <v/>
      </c>
    </row>
    <row r="9">
      <c r="A9" s="5" t="inlineStr">
        <is>
          <t>Payout ratio</t>
        </is>
      </c>
      <c r="B9" s="8">
        <f>Conservative!B49</f>
        <v/>
      </c>
      <c r="C9" s="22">
        <f>Optimistic!B49</f>
        <v/>
      </c>
      <c r="D9" s="8">
        <f>Conservative!C49</f>
        <v/>
      </c>
      <c r="E9" s="22">
        <f>Optimistic!C49</f>
        <v/>
      </c>
      <c r="F9" s="8">
        <f>Conservative!D49</f>
        <v/>
      </c>
      <c r="G9" s="22">
        <f>Optimistic!D49</f>
        <v/>
      </c>
      <c r="H9" s="8">
        <f>Conservative!E49</f>
        <v/>
      </c>
      <c r="I9" s="22">
        <f>Optimistic!E49</f>
        <v/>
      </c>
    </row>
    <row r="10">
      <c r="A10" s="5" t="inlineStr">
        <is>
          <t>Company gross margin</t>
        </is>
      </c>
      <c r="B10" s="8">
        <f>Conservative!B57</f>
        <v/>
      </c>
      <c r="C10" s="22">
        <f>Optimistic!B57</f>
        <v/>
      </c>
      <c r="D10" s="8">
        <f>Conservative!C57</f>
        <v/>
      </c>
      <c r="E10" s="22">
        <f>Optimistic!C57</f>
        <v/>
      </c>
      <c r="F10" s="8">
        <f>Conservative!D57</f>
        <v/>
      </c>
      <c r="G10" s="22">
        <f>Optimistic!D57</f>
        <v/>
      </c>
      <c r="H10" s="8">
        <f>Conservative!E57</f>
        <v/>
      </c>
      <c r="I10" s="22">
        <f>Optimistic!E57</f>
        <v/>
      </c>
    </row>
    <row r="11">
      <c r="A11" s="5" t="inlineStr">
        <is>
          <t>Top 20 as % of commissions</t>
        </is>
      </c>
      <c r="B11" s="8">
        <f>Conservative!B67</f>
        <v/>
      </c>
      <c r="C11" s="22">
        <f>Optimistic!B67</f>
        <v/>
      </c>
      <c r="D11" s="8">
        <f>Conservative!C67</f>
        <v/>
      </c>
      <c r="E11" s="22">
        <f>Optimistic!C67</f>
        <v/>
      </c>
      <c r="F11" s="8">
        <f>Conservative!D67</f>
        <v/>
      </c>
      <c r="G11" s="22">
        <f>Optimistic!D67</f>
        <v/>
      </c>
      <c r="H11" s="8">
        <f>Conservative!E67</f>
        <v/>
      </c>
      <c r="I11" s="22">
        <f>Optimistic!E67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2026-03-05T15:27:58Z</dcterms:created>
  <dcterms:modified xsi:type="dcterms:W3CDTF">2026-03-05T15:27:58Z</dcterms:modified>
</cp:coreProperties>
</file>